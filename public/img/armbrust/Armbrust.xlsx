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Armbrust\"/>
    </mc:Choice>
  </mc:AlternateContent>
  <xr:revisionPtr revIDLastSave="0" documentId="13_ncr:1_{8AC24AEA-F878-4821-BBDC-E2F0BA5E3124}" xr6:coauthVersionLast="47" xr6:coauthVersionMax="47" xr10:uidLastSave="{00000000-0000-0000-0000-000000000000}"/>
  <bookViews>
    <workbookView xWindow="-120" yWindow="-120" windowWidth="29040" windowHeight="15720" tabRatio="884" xr2:uid="{5C413A35-37CD-4FC7-9B0F-E46798A10454}"/>
  </bookViews>
  <sheets>
    <sheet name="Armbrust"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3" l="1"/>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2" i="3"/>
  <c r="O76" i="3" l="1"/>
  <c r="T76" i="3"/>
  <c r="V76" i="3" s="1"/>
  <c r="Z76" i="3"/>
  <c r="AA76" i="3"/>
  <c r="AB76" i="3"/>
  <c r="O75" i="3" l="1"/>
  <c r="T75" i="3"/>
  <c r="V75" i="3" s="1"/>
  <c r="Z75" i="3"/>
  <c r="AA75" i="3"/>
  <c r="AB75" i="3"/>
  <c r="O74" i="3" l="1"/>
  <c r="T74" i="3"/>
  <c r="V74" i="3" s="1"/>
  <c r="Z74" i="3"/>
  <c r="AA74" i="3"/>
  <c r="AB74" i="3"/>
  <c r="O73" i="3" l="1"/>
  <c r="T73" i="3"/>
  <c r="V73" i="3" s="1"/>
  <c r="Z73" i="3"/>
  <c r="AA73" i="3"/>
  <c r="AB73" i="3"/>
  <c r="O71" i="3" l="1"/>
  <c r="T71" i="3"/>
  <c r="V71" i="3" s="1"/>
  <c r="Z71" i="3"/>
  <c r="AA71" i="3"/>
  <c r="AB71" i="3"/>
  <c r="O72" i="3"/>
  <c r="T72" i="3"/>
  <c r="V72" i="3" s="1"/>
  <c r="Z72" i="3"/>
  <c r="AA72" i="3"/>
  <c r="AB72" i="3"/>
  <c r="O69" i="3" l="1"/>
  <c r="T69" i="3"/>
  <c r="V69" i="3" s="1"/>
  <c r="Z69" i="3"/>
  <c r="AA69" i="3"/>
  <c r="AB69" i="3"/>
  <c r="O70" i="3"/>
  <c r="T70" i="3"/>
  <c r="V70" i="3" s="1"/>
  <c r="Z70" i="3"/>
  <c r="AA70" i="3"/>
  <c r="AB70" i="3"/>
  <c r="AB68" i="3" l="1"/>
  <c r="AA68" i="3"/>
  <c r="Z68" i="3"/>
  <c r="T68" i="3"/>
  <c r="V68" i="3" s="1"/>
  <c r="O68" i="3"/>
  <c r="AB67" i="3"/>
  <c r="AA67" i="3"/>
  <c r="Z67" i="3"/>
  <c r="T67" i="3"/>
  <c r="V67" i="3" s="1"/>
  <c r="O67" i="3"/>
  <c r="AB66" i="3"/>
  <c r="AA66" i="3"/>
  <c r="Z66" i="3"/>
  <c r="T66" i="3"/>
  <c r="V66" i="3" s="1"/>
  <c r="O66" i="3"/>
  <c r="AB65" i="3"/>
  <c r="AA65" i="3"/>
  <c r="Z65" i="3"/>
  <c r="T65" i="3"/>
  <c r="V65" i="3" s="1"/>
  <c r="O65" i="3"/>
  <c r="AB64" i="3"/>
  <c r="AA64" i="3"/>
  <c r="Z64" i="3"/>
  <c r="T64" i="3"/>
  <c r="V64" i="3" s="1"/>
  <c r="O64" i="3"/>
  <c r="AB63" i="3"/>
  <c r="AA63" i="3"/>
  <c r="Z63" i="3"/>
  <c r="T63" i="3"/>
  <c r="V63" i="3" s="1"/>
  <c r="O63" i="3"/>
  <c r="AB62" i="3"/>
  <c r="AA62" i="3"/>
  <c r="Z62" i="3"/>
  <c r="T62" i="3"/>
  <c r="V62" i="3" s="1"/>
  <c r="O62" i="3"/>
  <c r="AB61" i="3"/>
  <c r="AA61" i="3"/>
  <c r="Z61" i="3"/>
  <c r="T61" i="3"/>
  <c r="V61" i="3" s="1"/>
  <c r="O61" i="3"/>
  <c r="AB60" i="3"/>
  <c r="AA60" i="3"/>
  <c r="Z60" i="3"/>
  <c r="U60" i="3"/>
  <c r="T60" i="3"/>
  <c r="V60" i="3" s="1"/>
  <c r="O60" i="3"/>
  <c r="AB59" i="3"/>
  <c r="AA59" i="3"/>
  <c r="Z59" i="3"/>
  <c r="U59" i="3"/>
  <c r="T59" i="3"/>
  <c r="V59" i="3" s="1"/>
  <c r="O59" i="3"/>
  <c r="AB58" i="3"/>
  <c r="AA58" i="3"/>
  <c r="Z58" i="3"/>
  <c r="U58" i="3"/>
  <c r="T58" i="3"/>
  <c r="V58" i="3" s="1"/>
  <c r="O58" i="3"/>
  <c r="AB57" i="3"/>
  <c r="AA57" i="3"/>
  <c r="Z57" i="3"/>
  <c r="U57" i="3"/>
  <c r="T57" i="3"/>
  <c r="V57" i="3" s="1"/>
  <c r="O57" i="3"/>
  <c r="AB56" i="3"/>
  <c r="AA56" i="3"/>
  <c r="Z56" i="3"/>
  <c r="U56" i="3"/>
  <c r="T56" i="3"/>
  <c r="V56" i="3" s="1"/>
  <c r="O56" i="3"/>
  <c r="AB55" i="3"/>
  <c r="AA55" i="3"/>
  <c r="Z55" i="3"/>
  <c r="U55" i="3"/>
  <c r="T55" i="3"/>
  <c r="V55" i="3" s="1"/>
  <c r="O55" i="3"/>
  <c r="AB54" i="3"/>
  <c r="AA54" i="3"/>
  <c r="Z54" i="3"/>
  <c r="U54" i="3"/>
  <c r="T54" i="3"/>
  <c r="V54" i="3" s="1"/>
  <c r="O54" i="3"/>
  <c r="AB53" i="3"/>
  <c r="AA53" i="3"/>
  <c r="Z53" i="3"/>
  <c r="U53" i="3"/>
  <c r="T53" i="3"/>
  <c r="V53" i="3" s="1"/>
  <c r="O53" i="3"/>
  <c r="AB52" i="3"/>
  <c r="AA52" i="3"/>
  <c r="Z52" i="3"/>
  <c r="U52" i="3"/>
  <c r="T52" i="3"/>
  <c r="V52" i="3" s="1"/>
  <c r="O52" i="3"/>
  <c r="AB51" i="3"/>
  <c r="AA51" i="3"/>
  <c r="Z51" i="3"/>
  <c r="U51" i="3"/>
  <c r="T51" i="3"/>
  <c r="V51" i="3" s="1"/>
  <c r="O51" i="3"/>
  <c r="AB50" i="3"/>
  <c r="AA50" i="3"/>
  <c r="Z50" i="3"/>
  <c r="U50" i="3"/>
  <c r="T50" i="3"/>
  <c r="V50" i="3" s="1"/>
  <c r="O50" i="3"/>
  <c r="AB49" i="3"/>
  <c r="AA49" i="3"/>
  <c r="Z49" i="3"/>
  <c r="U49" i="3"/>
  <c r="T49" i="3"/>
  <c r="V49" i="3" s="1"/>
  <c r="O49" i="3"/>
  <c r="AB48" i="3"/>
  <c r="AA48" i="3"/>
  <c r="Z48" i="3"/>
  <c r="U48" i="3"/>
  <c r="T48" i="3"/>
  <c r="V48" i="3" s="1"/>
  <c r="O48" i="3"/>
  <c r="AB47" i="3"/>
  <c r="AA47" i="3"/>
  <c r="Z47" i="3"/>
  <c r="U47" i="3"/>
  <c r="T47" i="3"/>
  <c r="V47" i="3" s="1"/>
  <c r="O47" i="3"/>
  <c r="AB46" i="3"/>
  <c r="AA46" i="3"/>
  <c r="Z46" i="3"/>
  <c r="U46" i="3"/>
  <c r="T46" i="3"/>
  <c r="V46" i="3" s="1"/>
  <c r="O46" i="3"/>
  <c r="AB45" i="3"/>
  <c r="AA45" i="3"/>
  <c r="Z45" i="3"/>
  <c r="U45" i="3"/>
  <c r="T45" i="3"/>
  <c r="V45" i="3" s="1"/>
  <c r="O45" i="3"/>
  <c r="AB44" i="3"/>
  <c r="AA44" i="3"/>
  <c r="Z44" i="3"/>
  <c r="U44" i="3"/>
  <c r="T44" i="3"/>
  <c r="V44" i="3" s="1"/>
  <c r="O44" i="3"/>
  <c r="AB43" i="3"/>
  <c r="AA43" i="3"/>
  <c r="Z43" i="3"/>
  <c r="U43" i="3"/>
  <c r="T43" i="3"/>
  <c r="V43" i="3" s="1"/>
  <c r="O43" i="3"/>
  <c r="AB42" i="3"/>
  <c r="AA42" i="3"/>
  <c r="Z42" i="3"/>
  <c r="U42" i="3"/>
  <c r="T42" i="3"/>
  <c r="V42" i="3" s="1"/>
  <c r="O42" i="3"/>
  <c r="AB41" i="3"/>
  <c r="AA41" i="3"/>
  <c r="Z41" i="3"/>
  <c r="U41" i="3"/>
  <c r="T41" i="3"/>
  <c r="V41" i="3" s="1"/>
  <c r="O41" i="3"/>
  <c r="AB40" i="3"/>
  <c r="AA40" i="3"/>
  <c r="Z40" i="3"/>
  <c r="U40" i="3"/>
  <c r="T40" i="3"/>
  <c r="V40" i="3" s="1"/>
  <c r="O40" i="3"/>
  <c r="AB39" i="3"/>
  <c r="AA39" i="3"/>
  <c r="Z39" i="3"/>
  <c r="U39" i="3"/>
  <c r="T39" i="3"/>
  <c r="V39" i="3" s="1"/>
  <c r="O39" i="3"/>
  <c r="AB38" i="3"/>
  <c r="AA38" i="3"/>
  <c r="Z38" i="3"/>
  <c r="U38" i="3"/>
  <c r="T38" i="3"/>
  <c r="V38" i="3" s="1"/>
  <c r="O38" i="3"/>
  <c r="AB37" i="3"/>
  <c r="AA37" i="3"/>
  <c r="Z37" i="3"/>
  <c r="U37" i="3"/>
  <c r="T37" i="3"/>
  <c r="V37" i="3" s="1"/>
  <c r="O37" i="3"/>
  <c r="AB36" i="3"/>
  <c r="AA36" i="3"/>
  <c r="Z36" i="3"/>
  <c r="U36" i="3"/>
  <c r="T36" i="3"/>
  <c r="V36" i="3" s="1"/>
  <c r="O36" i="3"/>
  <c r="AB35" i="3"/>
  <c r="AA35" i="3"/>
  <c r="Z35" i="3"/>
  <c r="U35" i="3"/>
  <c r="T35" i="3"/>
  <c r="V35" i="3" s="1"/>
  <c r="O35" i="3"/>
  <c r="AB34" i="3"/>
  <c r="AA34" i="3"/>
  <c r="Z34" i="3"/>
  <c r="U34" i="3"/>
  <c r="T34" i="3"/>
  <c r="V34" i="3" s="1"/>
  <c r="O34" i="3"/>
  <c r="AB33" i="3"/>
  <c r="AA33" i="3"/>
  <c r="Z33" i="3"/>
  <c r="U33" i="3"/>
  <c r="T33" i="3"/>
  <c r="V33" i="3" s="1"/>
  <c r="O33" i="3"/>
  <c r="AB32" i="3"/>
  <c r="AA32" i="3"/>
  <c r="Z32" i="3"/>
  <c r="T32" i="3"/>
  <c r="V32" i="3" s="1"/>
  <c r="O32" i="3"/>
  <c r="AB31" i="3"/>
  <c r="AA31" i="3"/>
  <c r="Z31" i="3"/>
  <c r="T31" i="3"/>
  <c r="V31" i="3" s="1"/>
  <c r="O31" i="3"/>
  <c r="AB30" i="3"/>
  <c r="AA30" i="3"/>
  <c r="Z30" i="3"/>
  <c r="T30" i="3"/>
  <c r="V30" i="3" s="1"/>
  <c r="O30" i="3"/>
  <c r="AB29" i="3"/>
  <c r="AA29" i="3"/>
  <c r="Z29" i="3"/>
  <c r="T29" i="3"/>
  <c r="V29" i="3" s="1"/>
  <c r="O29" i="3"/>
  <c r="AB28" i="3"/>
  <c r="AA28" i="3"/>
  <c r="Z28" i="3"/>
  <c r="T28" i="3"/>
  <c r="V28" i="3" s="1"/>
  <c r="O28" i="3"/>
  <c r="AB27" i="3"/>
  <c r="AA27" i="3"/>
  <c r="Z27" i="3"/>
  <c r="T27" i="3"/>
  <c r="V27" i="3" s="1"/>
  <c r="O27" i="3"/>
  <c r="AB26" i="3"/>
  <c r="AA26" i="3"/>
  <c r="Z26" i="3"/>
  <c r="T26" i="3"/>
  <c r="V26" i="3" s="1"/>
  <c r="O26" i="3"/>
  <c r="AB25" i="3"/>
  <c r="AA25" i="3"/>
  <c r="Z25" i="3"/>
  <c r="T25" i="3"/>
  <c r="V25" i="3" s="1"/>
  <c r="O25" i="3"/>
  <c r="AB24" i="3"/>
  <c r="AA24" i="3"/>
  <c r="Z24" i="3"/>
  <c r="T24" i="3"/>
  <c r="V24" i="3" s="1"/>
  <c r="O24" i="3"/>
  <c r="AB22" i="3"/>
  <c r="AA22" i="3"/>
  <c r="Z22" i="3"/>
  <c r="U22" i="3"/>
  <c r="T22" i="3"/>
  <c r="V22" i="3" s="1"/>
  <c r="O22" i="3"/>
  <c r="AB21" i="3"/>
  <c r="AA21" i="3"/>
  <c r="Z21" i="3"/>
  <c r="U21" i="3"/>
  <c r="T21" i="3"/>
  <c r="V21" i="3" s="1"/>
  <c r="O21" i="3"/>
  <c r="AB20" i="3"/>
  <c r="AA20" i="3"/>
  <c r="Z20" i="3"/>
  <c r="U20" i="3"/>
  <c r="T20" i="3"/>
  <c r="V20" i="3" s="1"/>
  <c r="O20" i="3"/>
  <c r="AB19" i="3"/>
  <c r="AA19" i="3"/>
  <c r="Z19" i="3"/>
  <c r="U19" i="3"/>
  <c r="T19" i="3"/>
  <c r="V19" i="3" s="1"/>
  <c r="O19" i="3"/>
  <c r="AB18" i="3"/>
  <c r="AA18" i="3"/>
  <c r="Z18" i="3"/>
  <c r="T18" i="3"/>
  <c r="V18" i="3" s="1"/>
  <c r="O18" i="3"/>
  <c r="AB17" i="3"/>
  <c r="AA17" i="3"/>
  <c r="Z17" i="3"/>
  <c r="T17" i="3"/>
  <c r="V17" i="3" s="1"/>
  <c r="O17" i="3"/>
  <c r="AB16" i="3"/>
  <c r="AA16" i="3"/>
  <c r="Z16" i="3"/>
  <c r="T16" i="3"/>
  <c r="V16" i="3" s="1"/>
  <c r="O16" i="3"/>
  <c r="AB15" i="3"/>
  <c r="AA15" i="3"/>
  <c r="Z15" i="3"/>
  <c r="T15" i="3"/>
  <c r="V15" i="3" s="1"/>
  <c r="O15" i="3"/>
  <c r="AB14" i="3"/>
  <c r="AA14" i="3"/>
  <c r="Z14" i="3"/>
  <c r="T14" i="3"/>
  <c r="V14" i="3" s="1"/>
  <c r="O14" i="3"/>
  <c r="AB13" i="3"/>
  <c r="AA13" i="3"/>
  <c r="Z13" i="3"/>
  <c r="T13" i="3"/>
  <c r="V13" i="3" s="1"/>
  <c r="O13" i="3"/>
  <c r="AB12" i="3"/>
  <c r="AA12" i="3"/>
  <c r="Z12" i="3"/>
  <c r="T12" i="3"/>
  <c r="V12" i="3" s="1"/>
  <c r="O12" i="3"/>
  <c r="AB11" i="3"/>
  <c r="AA11" i="3"/>
  <c r="Z11" i="3"/>
  <c r="T11" i="3"/>
  <c r="V11" i="3" s="1"/>
  <c r="O11" i="3"/>
  <c r="AB10" i="3"/>
  <c r="AA10" i="3"/>
  <c r="Z10" i="3"/>
  <c r="T10" i="3"/>
  <c r="V10" i="3" s="1"/>
  <c r="O10" i="3"/>
  <c r="AB9" i="3"/>
  <c r="AA9" i="3"/>
  <c r="Z9" i="3"/>
  <c r="T9" i="3"/>
  <c r="V9" i="3" s="1"/>
  <c r="O9" i="3"/>
  <c r="AB8" i="3"/>
  <c r="AA8" i="3"/>
  <c r="Z8" i="3"/>
  <c r="T8" i="3"/>
  <c r="V8" i="3" s="1"/>
  <c r="O8" i="3"/>
  <c r="AB7" i="3"/>
  <c r="AA7" i="3"/>
  <c r="Z7" i="3"/>
  <c r="T7" i="3"/>
  <c r="V7" i="3" s="1"/>
  <c r="O7" i="3"/>
  <c r="AB6" i="3"/>
  <c r="AA6" i="3"/>
  <c r="Z6" i="3"/>
  <c r="T6" i="3"/>
  <c r="V6" i="3" s="1"/>
  <c r="O6" i="3"/>
  <c r="AB5" i="3"/>
  <c r="AA5" i="3"/>
  <c r="Z5" i="3"/>
  <c r="T5" i="3"/>
  <c r="V5" i="3" s="1"/>
  <c r="O5" i="3"/>
  <c r="AB4" i="3"/>
  <c r="AA4" i="3"/>
  <c r="Z4" i="3"/>
  <c r="T4" i="3"/>
  <c r="V4" i="3" s="1"/>
  <c r="O4" i="3"/>
  <c r="AB3" i="3"/>
  <c r="AA3" i="3"/>
  <c r="Z3" i="3"/>
  <c r="T3" i="3"/>
  <c r="V3" i="3" s="1"/>
  <c r="O3" i="3"/>
  <c r="AB2" i="3"/>
  <c r="AA2" i="3"/>
  <c r="Z2" i="3"/>
  <c r="T2" i="3"/>
  <c r="V2" i="3" s="1"/>
  <c r="O2" i="3"/>
  <c r="I83" i="3" l="1"/>
  <c r="J83" i="3"/>
</calcChain>
</file>

<file path=xl/sharedStrings.xml><?xml version="1.0" encoding="utf-8"?>
<sst xmlns="http://schemas.openxmlformats.org/spreadsheetml/2006/main" count="520" uniqueCount="272">
  <si>
    <t>IG</t>
  </si>
  <si>
    <t>BS</t>
  </si>
  <si>
    <t>PÄ</t>
  </si>
  <si>
    <t>GÜ</t>
  </si>
  <si>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</si>
  <si>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</si>
  <si>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</si>
  <si>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</si>
  <si>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</si>
  <si>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</si>
  <si>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</si>
  <si>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</si>
  <si>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</si>
  <si>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</si>
  <si>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</si>
  <si>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</si>
  <si>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</si>
  <si>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</si>
  <si>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</si>
  <si>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</si>
  <si>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</si>
  <si>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</si>
  <si>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</si>
  <si>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</si>
  <si>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</si>
  <si>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</si>
  <si>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Haller</t>
  </si>
  <si>
    <t>VK kpl.</t>
  </si>
  <si>
    <t>EK kpl.</t>
  </si>
  <si>
    <t>Lagerbestand</t>
  </si>
  <si>
    <t>Armbrustpistole Cobra</t>
  </si>
  <si>
    <t>Accueil,Outdoor plus,Armbrust,Recurve</t>
  </si>
  <si>
    <t>Mit Kunststoffkorpus, Spezialspannhebel und drei Pfeilen. 
Zuggewicht 80 lbs
Gesamtlänge 50cm</t>
  </si>
  <si>
    <t>CR-039W4</t>
  </si>
  <si>
    <t>Armbrustpistole Cobra Holzlook</t>
  </si>
  <si>
    <t>Ek Archery</t>
  </si>
  <si>
    <t>Mit Spezialspannhebel Metallkorpus und drei Pfeilen. 
Zuggewicht 80 lbs
Gesamtlänge 50cm</t>
  </si>
  <si>
    <t>CR-039BK</t>
  </si>
  <si>
    <t>Armbrustpistole Cobra schwarz</t>
  </si>
  <si>
    <t>Python Set</t>
  </si>
  <si>
    <t>Black Flash</t>
  </si>
  <si>
    <t>Aluminium Schaft mit Holzgriffen, Fiberglas Wurfarme, Fussbügel, zwei Aluminiumpfeile. Zuggewicht ca. 150lbs / Farbe black / Länge ca. 26.5" / Breite ca. 26" / Pfeillänge ca. 16"</t>
  </si>
  <si>
    <t>Mit Metallkorpus, Fiberglasbogen und spezial Spannhebel. Inklusive drei Aluminiumpfeilen. Zuggewicht 80 lbs. Gesamtlänge 50 cm</t>
  </si>
  <si>
    <t xml:space="preserve">Armbrustpistole </t>
  </si>
  <si>
    <t>Mit Metallkorpus und fünf Kunststoffpfeilen. Zuggewicht 50 lbs. Gesamtlänge 32 cm</t>
  </si>
  <si>
    <t>Armbrustpistole</t>
  </si>
  <si>
    <t>KBS-78246</t>
  </si>
  <si>
    <t>Barnett Raptor Reverse</t>
  </si>
  <si>
    <t>Accueil,Outdoor plus,Armbrust,Compound</t>
  </si>
  <si>
    <t>SSA</t>
  </si>
  <si>
    <t>Barnett</t>
  </si>
  <si>
    <t>Compound Armbrust im Set mit Zielfernrohr beleuchtet, Spannhilfe, Köcher, 3 Carbonpfeile 20" Zuggewicht: 155 lbs, Geschwindigkeit: 330 fps, Bogenlänge: 438mm, Gesamtlänge: 805mm, Gewicht: 2948g</t>
  </si>
  <si>
    <t>BARNETT Raptor Reverse</t>
  </si>
  <si>
    <t>KBS-78044</t>
  </si>
  <si>
    <t>Barnett Ghost 415 Black</t>
  </si>
  <si>
    <t>Compound Armbrust im Set mit Zielfernrohr beleuchtet 1,5x - 5x32mm Variable Zoom Scope, Talon Crossbow Sling, Spannhilfe, Köcher, 3 Carbonpfeile 22" Zuggewicht: 185 lbs, Geschwindigkeit: 415 fps, Bogenlänge: 555mm, Gesamtlänge: 950mm, Gewicht: 3.2kg, Power Stroke: 15,375", kinetische Energie: 153 fp ke (ca. 207 Joule)</t>
  </si>
  <si>
    <t xml:space="preserve">Barnett Ghost 415 Black </t>
  </si>
  <si>
    <t>KBS-78059</t>
  </si>
  <si>
    <t>Barnett Ghost 415 Camo</t>
  </si>
  <si>
    <t xml:space="preserve">Barnett Ghost 415 Camo </t>
  </si>
  <si>
    <t>KBS-78401</t>
  </si>
  <si>
    <t xml:space="preserve">Barnett Penetrator Camo </t>
  </si>
  <si>
    <t>Compound Armbrust im Set mit Zielfernrohr , 4x32mm Variable Zoom Scope, Spannhilfe, Köcher, 3 Carbonpfeile 20" Zuggewicht: 175 lbs, Geschwindigkeit: 350 fps</t>
  </si>
  <si>
    <t>KBS-78040</t>
  </si>
  <si>
    <t>Barnett Quad Edge Black</t>
  </si>
  <si>
    <t>Compound Armbrust im Set mit Zielfernrohr , 4x32mm Variable Zoom Scope, Spannhilfe, Köcher, 3 Carbonpfeile 22" Zuggewicht: 125 lbs, Geschwindigkeit: 340 fps</t>
  </si>
  <si>
    <t>KBS-78041</t>
  </si>
  <si>
    <t>Barnett Quad Edge S Camo</t>
  </si>
  <si>
    <t>Compound Armbrust im Set mit Zielfernrohr , 4x32mm Variable Zoom Scope, Spannhilfe, Köcher, 3 Carbonpfeile 22" Zuggewicht: 135 lbs, Geschwindigkeit: 350 fps</t>
  </si>
  <si>
    <t>KBS-78210</t>
  </si>
  <si>
    <t>Barnett Razr black</t>
  </si>
  <si>
    <t>Compound Armbrust im Set mit Zielfernrohr beleuchtet 1,5x - 5x32mm Variable Zoom Scope, Talon Crossbow Sling, Spannhilfe, Köcher, 3 Carbonpfeile 22" Zuggewicht: 185 lbs, Geschwindigkeit: 400 fps, Bogenlänge: 550mm, Gesamtlänge: 880mm, Gewicht: 2.9kg, Power Stroke: 16", kinetische Energie: 142 fp ke (ca. 207 Joule)</t>
  </si>
  <si>
    <t xml:space="preserve">Barnett Razr black </t>
  </si>
  <si>
    <t>KBS-EX-6850</t>
  </si>
  <si>
    <t>EXCALIBUR Matrix Grizzly 305 Mossy Oak</t>
  </si>
  <si>
    <t>Excalibur</t>
  </si>
  <si>
    <t>Recurve Armbrust Kit MATRIX SMF GRIZZLY von EXCALIBUR neues Modell. Geschwindigkeit: 305 fps. Eigengewicht kg: 5.5 lbs. Powerstroke: 11,5 Zoll. Gesamtlänge: 33.2". Farbe: Mossy Oak Break-up Country. Empfohlene Pfeillänge: 18 Zoll. Scope: Dead-Zone Scope w/30mm rings. 4 x Diabolo Bolzen, 4 x 150 grs. Feld Spitzen, 4-Pfeile Köcher. DVD mit Anleitung. Armbrust Spannhilfe von Excalibur</t>
  </si>
  <si>
    <t>KBS-BE-A6BRZBK125</t>
  </si>
  <si>
    <t>Bear BRUZER FFL</t>
  </si>
  <si>
    <t>BEAR ARCHERY</t>
  </si>
  <si>
    <t>Reverse Draw Armbrust. Geschwindigkeit: 335fps / 368km/h. Auszugsgewicht: 125lbs. kinetische Energie: 99,3ft/lbs. Abzug: BEAR’s exclusives 3XSTM Trigger System der sicherste Abzug, der je in einer Armbrust verbaut wurde. Länge: 34,5''. Breite ungespannt/gespannt: 18''/15,1''. Power Stroke: 14''. Gewicht: 4,08kg. ZFR , Köcher, 3 Bolzen, Seilspannhilfe, Sehnenwachs</t>
  </si>
  <si>
    <t>KBS-CST-2008J</t>
  </si>
  <si>
    <t>Jandao Chase Star 225 LBS ZXXL225 Set</t>
  </si>
  <si>
    <t>Jandao</t>
  </si>
  <si>
    <t>Recurve Armbrust.Jandao Chace-Star 4X 32mm Scope Crossbow Package with Cocking Aid and Arrow, 225-Pound/330 FPS</t>
  </si>
  <si>
    <t>a03</t>
  </si>
  <si>
    <t>Jandao ZRXL2/155 350fps BARTON</t>
  </si>
  <si>
    <t>Compound Armbrust im Set mit 4x32mm Zielfernrohr , Talon Crossbow Sling, Spannhilfe, Köcher, 4 Pfeile , Zuggewicht: 155 lbs, Geschwindigkeit: 350 fps, Bogenlänge: 610mm, Gesamtlänge: 1050mm, Gewicht: 4.8kg</t>
  </si>
  <si>
    <t>PoeLang</t>
  </si>
  <si>
    <t>AMID mit Holzschaft - Set</t>
  </si>
  <si>
    <t>BlackFlash</t>
  </si>
  <si>
    <t>Schöne Schussstarke Armbrust
Der Schaft und Griff wird aus Buchenholz hergestellt,
die Wurfarme aus Fiberglas
die Armbrust hat einen Stahllauf
mit integriertem Fußbügel
Länge: ca. 30,7 Zoll (ca. 78 cm)
Breite: ca. 26,4 Zoll (ca. 67 cm)
Material: Holz, Stahl und Fiberglas
Zuggewichte: ca. 150 lbs
Abweichungen von +/- 2 lbs können vorkommen
Pfeillänge: 14 Zoll (ca. 35,5 cm)
Gewicht: ca. 2,2 kg
Inklusive   Sehne
Inklusive 2 Aluminium Pfeile</t>
  </si>
  <si>
    <t>KBS-78629</t>
  </si>
  <si>
    <t xml:space="preserve"> 'LADY RAPTOR FX' CAMO 330fps 150LBS 4X32MM SCOPE</t>
  </si>
  <si>
    <t>All in a lightweight, easy-to-use package that has everything you needed to take down your target right away. You'll get a well-balanced Crossbow that delivers arrows at an ultra-fast 330 F.P.S. with 97 ft.-lbs. of kinetic energy behind every shot. This is the full package... you also get a 4x32mm multi-reticle scope, three 20" Headhunter arrows and a 3-arrow quiver.
330 F.P.S.
150-lb. draw weight
97 ft.-lbs. kinetic energy
12 1/2" power stroke
Lightweight composite stock
Custom composite laminated limbs
CNC machined 7/8" Picatinny rail
High-energy cam system
Finger reminders and pass-through foregrip
CROSSWIRE® string and cable system
Adjustable butt pad
16" axle to axle
Metal injected, anti-dry fire trigger
Anti-vibration foot stirrup
Includes rope cocking device
Measures 18" x 34 1/4"l.
Weighs 6 lbs., 8 ozs.
- See more at: https://www.sportsmansguide.com/product/index/barnett-lady-raptor-fx-crossbow-4x32mm-multi-reticle-scope-150-lb-draw-weight?a=1721465#sthash.OggzMJX1.dpuf</t>
  </si>
  <si>
    <t>KAS-CR-062B</t>
  </si>
  <si>
    <t>GUILLOTINE-X' BLACK 400fps 185LBS SCOPE &amp; ACCES.</t>
  </si>
  <si>
    <t>EK Archery</t>
  </si>
  <si>
    <t xml:space="preserve">Armbrust Guillotine X Set schwarz 400 FPS
Die Guillotine ist eine gewaltige Compountarmbrust mit wahnsinniger Power. Mit Ihrer außergewöhnlichen massiv gestaltetetn Fußstütze macht sie richtig Eindruck. 
Dazu liegt Sie noch sehr bequem in der Hand. 
Zuggewicht: 185 lbs
Geschwindigkeit: ca. 400 FPS (ca. 438km/h)
Powerstroke: ca. 14,5"
Breite gespannt: ca. 33cm
Breite ungespannt: ca. ca. 45cm
Länge: ca. 96cm" 
Zielgenau auf: 80-120m
Gewicht ca. 3,9 kg
Leerschusssicherung
Abzugsicherung
22mm Picatinny-Schiene für Zieleinrichtung
Lieferumfang
Zielfernrohr 4x32
Spannhilfe
Sehne
Tragegurt 
Anbauköcher
3 Bolzen 20" aus Carbon
Bitte beachten Sie. dass das Ziel für die Armbrust geeignet sein muss. Wenn die Bolzen zu weit eindringen und die Spitze hinten herausguckt wird sich meistens die Spitze mit dem Insert aus dem Bolzen lösen. Das ist kein Fehler der Bolzen, sondern das Ziel ist dann zu schwach. </t>
  </si>
  <si>
    <t>KAS-CR-062M</t>
  </si>
  <si>
    <t>GUILLOTINE-X' CAMO 400fps 185LBS SCOPE &amp; ACCES.</t>
  </si>
  <si>
    <t xml:space="preserve">Armbrust Guillotine X SetCamo 400 FPS
Die Guillotine ist eine gewaltige Compountarmbrust mit wahnsinniger Power. Mit Ihrer außergewöhnlichen massiv gestaltetetn Fußstütze macht sie richtig Eindruck. 
Dazu liegt Sie noch sehr bequem in der Hand. 
Zuggewicht: 185 lbs
Geschwindigkeit: ca. 400 FPS (ca. 438km/h)
Powerstroke: ca. 14,5"
Breite gespannt: ca. 33cm
Breite ungespannt: ca. ca. 45cm
Länge: ca. 96cm" 
Zielgenau auf: 80-120m
Gewicht ca. 3,9 kg
Leerschusssicherung
Abzugsicherung
22mm Picatinny-Schiene für Zieleinrichtung
Lieferumfang
Zielfernrohr 4x32
Spannhilfe
Sehne
Tragegurt 
Anbauköcher
3 Bolzen 20" aus Carbon
Bitte beachten Sie. dass das Ziel für die Armbrust geeignet sein muss. Wenn die Bolzen zu weit eindringen und die Spitze hinten herausguckt wird sich meistens die Spitze mit dem Insert aus dem Bolzen lösen. Das ist kein Fehler der Bolzen, sondern das Ziel ist dann zu schwach. </t>
  </si>
  <si>
    <t>KBS-RC-R115</t>
  </si>
  <si>
    <t>Ravin R15 Predator camo</t>
  </si>
  <si>
    <t>Ravin</t>
  </si>
  <si>
    <t xml:space="preserve">RAVIN R15 Predator Camo
Mit der Marke RAVIN stößt ein weiterer US amerikanischer Hersteller in die Liga der Premium Armbrüste vor. Entstanden ist die wohl schmalste und handlichste Armbrust der Welt in bestechender Verarbeitung und top Schußleistungen. Serienmäßig ist die RAVIN R15 Predator mit einer Kurbelspannhilfe ausgestattet.
Die Ravin Armbrust hat ein glattes gewehrähnliches Design. Das unglaublichen Achse-zu-Achse-Maß von nur 6 Zoll im gespannten und nur 10,5 Zoll im ungespannten Zustand macht die Ravin Armbrust bedeutend schmaler und handlicher als jede Armbrust auf dem Markt. Der Bolzen liegt nur in der Führung auf. Dadurch wird die Reibung auf ein Minimum reduziert. Eine schöne Kombination von Geschwindigkeit, Kraft und in der Armbrust Industrie unvergleichlichen Genauigkeit.
Technische Daten:
Geschwindigkeit: 425fps / 466km/h (400grain Bolzen)
kinetische Energie: 160ft/lbs
Trockenschußsicherung
Automatische Sicherung
Maße:
Länge: 34,5'' (87,5cm)
Breite Achse zu Achse ungespannt/gespannt: 6''/10,5'' (15cm/27cm)
Power Stroke: 13''
Gewicht: 3,13kg     
im Lieferumfang enthalten:
6 Bolzen mit 100grain Field Spitzen
100 Yards Zielfernrohr (beleuchtet)
Kurbel
Köcher 
 </t>
  </si>
  <si>
    <t>Ravin R15 Predator camo,Accueil,Outdoor plus,Armbrust,Compound,SSA,Ravin</t>
  </si>
  <si>
    <t>KAS-M-ZF3XL-1</t>
  </si>
  <si>
    <t>Armbrustset Maximal MARKSMAN BLACK '400fps' 185 LBS</t>
  </si>
  <si>
    <t>Maximal</t>
  </si>
  <si>
    <t>Armbrust-Set MARKSMAN von MAXIMAL - die MARKSMAN ist baugleich mit der Salinda/Jandano Tomahawk - mit "nur" 185 lbs bringt sie einen Speed von 400 fps.
Wir liefern das KOMPLETTE Set!
Technische Daten:
Zuggewicht: 185 lbs
Speed: 400 fps
Auszugslänge: 15.7 Zoll
Rail: Aluminium
Länge: 37.4 Zoll (ca. 95 cm)
Breite: 21.2 Zoll (ca. 54 cm)
Gewicht: 7,5 lbs/ca. 3,4 kg
Bolzenlänge: 22"
Farbe: black
Zubehör: 4 x 32 Zielfernrohr, Bogenköcher, 4 x 22" Carbonpfeile, Tragegurt, Wax, Spannhilfe</t>
  </si>
  <si>
    <t>KAS-78122</t>
  </si>
  <si>
    <t>Barnett Armbrust Vicious - Armbrustpackage</t>
  </si>
  <si>
    <t>Wer die Vicious in den Händen hält, lernt schnell die Vorzüge einer Reverse Draw Armbrust zu schätzen. Sie ist wohl ausbalanciert, im Vergleich zu traditionellen Armbrüsten weniger kopflastig und erzielt mit vergleichsweise geringen Zuggewichten satte Pfeilgeschwindigkeiten. Die Barnett Vicious ist komplett, inklusive Riser und Wurfarmen, im neuen Kryptek Highlander camo gehalten, das bei immer mehr Herstellern Anklang findet. 
Die Vicious ist ab Werk mit einer Triggertech Abzugseinheit versehen.
43% leichterer Riser dank der patentierten Carbon-Riser-Technologie
Aluminium-Lauf
Aluminium 7/8" Picatinny Rail
Triggertech Abzugseinheit
Reverse Draw Technologie
Gehalten in Kryptek Highlander camo
Technische Daten:
Zuggewicht: 150 lbs.
Achslänge: 16.75 Zoll
Breite: 20.10 Zoll
Länge: 31.70 Zoll
Geschewindigkeit: 340 fps
Powerstroke: 15.375 Zoll
Lieferumfang:
Armbrust Barnett Vicious
4x32 Illuminated ScopeSide-Mount 
Anbauköcher
Spannhilfe
Sehnendämpfer
2 Bolzen Headhunter 20 Zoll</t>
  </si>
  <si>
    <t>BARNETT BC ReVengeance 400fps</t>
  </si>
  <si>
    <t>Alles an der Barnett BC Revengeance ist zu gut, um wahr zu sein. Mit einem Zuggewicht von 145 lbs ist sie leicht zu spannen, liefert aufgrund der Reverse Draw Technologie mit 400fps extrem hohe Pfeilgeschwindigkeiten, die sich mit 135 ft lbs auch in der abgebenden kinetischen Energie niederschlagen. Ein klarer Vorteil ist die kompakte Bauweise eines Reverse Draw Modells, gleichzeitig bietet sie ernormen Komfort, da die gedrehte Bogeneinheit den Schwerpunkt zum Schützen verlagert. Der vordere taktische Griff ist einklappbar und lässt sich verschieben, damit die ReVengeneance auf die Bedürfnisse jedes Schützen angepasst werden kann.
Die Buck Commander Revengeance ist ab Werk mit einer Triggertech Abzugseinheit versehen.
- 43% leichterer Riser dank der patentierten Carbon-Riser-Technologie
- Verstellbarer Pistolengriff
- Aluminium-Lauf
- Aluminium 7/8" Picatinny Rail
- Triggertech Abzugseinheit
- Reverse Draw Technologie
- Schaft in Realtree APG
Technische Daten:
Zuggewicht: 145 lbs.
Achslänge: 18 Zoll
Breite: 23.75 Zoll
Länge: 33.80 Zoll
Geschewindigkeit: 400 fps
Powerstroke: 18 Zoll
Empfohlene Bolzen: 20 Zoll mit Moonnock
Lieferumfang:
Armbrust Barnett BC ReVengeance 
4x32 Illuminated Scope
Side-Mount Anbauköcher
Spannhilfe
Sehnendämpfer
2 Bolzen Headhunter 20 Zoll</t>
  </si>
  <si>
    <t>Armbrustpistole Alligator grün</t>
  </si>
  <si>
    <t>Mit Metallkorpus, Spezialspannhebel und drei Pfeilen.
Zuggewicht 80 lbs
Gesamtlänge 50 cm</t>
  </si>
  <si>
    <t>Armbrustpistole Alligator schwarz</t>
  </si>
  <si>
    <t>CST-CS13</t>
  </si>
  <si>
    <t>Cheap Shot 130 - Armbrust</t>
  </si>
  <si>
    <t>coldSteel</t>
  </si>
  <si>
    <t xml:space="preserve">Cheap Shot 130 - Armbrust
Mit ihrem außergewöhnlich niedrigen empfohlenen Verkaufspreis ist die Cheap Shot 130 womöglich die taktische Armbrust mit dem besten Preis-Leistungsverhältnis auf dem Markt! Sie lässt sich mühelos und schnell in fünf Einzelteile auseinanderbauen und passt somit locker in die meisten Rucksäcke, Koffer oder sogar Trolleys. 
Zwar sind die Teleskop-Schulterstütze im AR-Stil, die Picatinny-Schiene, der abnehmbare Frontgriff, das Leuchtpunktvisier und das coole Olivgrün allesamt großartige Features, aber das, was diese Armbrust von der Konkurrenz wirklich abheben lässt, ist die phänomenale Fähigkeit, buchstäblich in wenigen Sekunden 8 cm große Ziele auf über 27 m (30 Yard) Entfernung zu treffen! 
Ob Du stehst, kniest, sitzt oder auf dem Boden liegst, in jeder Lage lässt sich die Cheap Shot 130 blitzschnell laden. Hier wird weder Steigbügel noch Seil oder Winde benötigt, um die Armbrust schussfertig zu machen. Du musst lediglich den Spannhebel entriegeln, so dass er komplett nach vorne fährt, und ihn anschließend wieder nach hinten in seine Ausgangsposition bringen. Somit ist die Armbrust gespannt und fast schussbereit. Lege nun einen Bolzen auf die Pfeilschiene, versichere Dich, dass er ganz nach hinten geschoben wurde, löse die Sicherung und betätige den Abzug. 
Mit einer Geschwindigkeit von 69 m (226 Fuß) pro Sekunde, ist die Cheap Shot 130 eine kraftvolle Armbrust, die für bemerkenswerte Zielgenauigkeit und Durchschlagskraft sorgt! 
LIEFERUMFANG:
- 6 Carbonpfeile (38 cm) 
- Sehnenwachs 
- Schultergurt
- Längenverstellbare AR-Schulterstütze mit Pufferrohr 
- Red Dot Visier 
- Frontgriff 
- Zusätzlicher, abnehmbarer Frontgriff 
- Zwei Linsen-Reinigungstücher 
- Inbusschlüssel 
FEATURES: 
- 130 lb Zuggewicht 
- 69 m (226 Fuß) pro Sekunde 
- 2,6 kg Gewicht 
- Schulterstütze kompatibel mit handelsüblichen Pufferrohren (1,17 Zoll / 2,97 cm) 
- Pistolengriff und Frontgriff 
- Superschnell und leicht zu spannen - Kein Seil, kein Steigbügel, keine Kurbel 
- Erschwinglicher Preis 
- Preiswerte Pfeile/Bolzen, für die meisten Broadheads geeignet 
- Lässt sich leicht und schnell demontieren und transportieren </t>
  </si>
  <si>
    <t>CR-090BA-130</t>
  </si>
  <si>
    <t>COBRA SYSTEM RX</t>
  </si>
  <si>
    <t>X-BOW Cobra System RX - 130 lbs / 230 fps
Auffallend anders! Giftig wie ihre Namensgeberin! - Das sind die Eindrücke, die man bekommt, wenn man die X-BOW Cobra System RX das erste Mal sieht und schießt. 
Auffallend anders, weil schon ihr Äußeres ungewöhnlich ist. Die ausgeprägte Dreiecksform ist aber nicht nur bloße Optik, sondern das Resultat einer innovativen Technik, denn nie war es einfacher, eine Armbrust zu Spannen: Die lange Verbindung zwischen Pistolengriff und Spitze ist nämlich der Hebel zum Spannen der Armbrust. Doch wie funktioniert das Ganze? Ganz einfach und vor allem viel besser, als bei allen herkömmlichen Systemen, lautet die Antwort. Denn wenn der Spannhebel am Pistolengriff gelöst und nach vorne gedrückt wird, fährt die komplette Abzugseinheit samt Sicherung ebenfalls nach vorn und rastet an der entspannten Sehne ein. Wird der Spannhebel jetzt wieder nach hinten in seine Ausgangsposition gebracht, fährt die Abzugseinheit mit der eingerasteten Sehne zurück nach hinten in die Abschussposition und die Armbrust ist gespannt. Und dank des langen Hebels ist dazu deutlich weniger Kraft erforderlich, als bei den herkömmlichen Systemen.
Giftig wie ihre Namensgeberin, wird jeder verstehen, der die X-BOW Cobra System RX erst einmal geschossen hat. Aus einem relativ geringen Zuggewicht von 130 lbs ergeben sich souveräne Bolzengeschwindigkeiten von bis zu 230 fps (ca. 252 km/h). Trotz oder gerade wegen ihrer Kraft, wurde auch an die nötige Sicherheit gedacht und die Armbrust mit einer Leerschusssicherung ausgerüstet, die sie vor Beschädigungen schützt.
Neben Design und Kraft können auch die verwendeten Materialien und die weiteren Ausstattungdetails überzeugen: Die Pistolenarmbrust selbst wird aus hochfestem Kunststoff hergestellt, der Lauf und der Spannhebel aus Metall und der Wurfarm aus gepresstem Fiberglas. Die obere Montageschiene hat eine eingebaute Kimme und Korn Visierung und kann als Aufnahme für ein Scope genutzt werden. Weitere Picatinny-Schienen sind vorne seitlich, sowie zur Montage eines taktischen Frontgriffs am Spannhebel, angebracht.
Im Kit ist schließlich alles dabei, was die X-BOW Cobra System RX perfekt macht: Neben sechs Bolzen, ein Red Dot Visier, ein Schultergurt, eine längenverstellbare Schulterstütze, ein taktischer Frontgriff, sowie Sehnenwachs und Schutzbrille.
Technische Daten:
Zuggewicht: 130 lbs
max. Geschwindigkeit: 230 fps (ca. 252 km/h)
Schaft: Kunststoff
Bogen: Fiberglas
Länge: ca. 55cm
Breite: 47cm
Gewicht: ca. 2kg
Lieferumfang:
1x Pistolenarmbrust
1x Red Dot Visier
1x taktischer Frontgriff
1x Schaftverlängerung
6x 7.5 Zoll Carbonbolzen
1x Schultergurt
1x Sehnenwachs
1x Schutzbrille</t>
  </si>
  <si>
    <t>CR-090BA</t>
  </si>
  <si>
    <t>COBRA SYSTEM R9</t>
  </si>
  <si>
    <t>Die Cobra R9 hat ein Zuggewicht von 90 lbs und erreicht eine, für eine Pistolenarmbrust, beeindruckende Pfeilgeschwindigkeit von bis zu 260 km/h (240 fps). Die besondere Clou der R9 ist der innovative Repetiermechanismus, der das spannen des Bogens einfach und schnell macht. Die Leerschussicherung aktiviert sich beim spannen und verhindert zuverlässig einen vorzeitigen Schuss.
Mit dem Deluxe Kit verwandelt sich die in taktischem schwarz gehaltene Pistolenarmbrust in eine kompakte Armbrust bei der der längenverstellbare Schaft auf verschiedene Körpergrössen eingestellt werden kann. Im Paket enthalten sind sechs 7.5" Carbonpfeile, es können auch Pfeile bis 15" geschossen werden. Die zwei Picatinnyschienen, erlauben die Anbringung eines Visiers, des mitgelieferten griffigen Frontgriffs und weiterer Zubehörteile.Spezifikationen
Zuggewicht: 80lbs
Schaft: Aluminium
Bogen: Fiberglas
Breite: 44cm
Länge: 49cm (ohne Schaftverlängerung)
Gewicht: 0.865 kg (ohne Zubehör)
Lieferumfang:
1x Bogen mit aufgespannter Sehne
1x Frontgriff
1x vormontierter Schaft mit Picatinnyschiene
1x einstellbarer Zielvorrichtung
1x Montageschlüssel
6x 7.5" Carbonpfeile
1x Rotpunkt Zielvisier
1x Schulterschlaufe
1x Sehnenwachs
1x Schaftverlängerung mit Dämpfung
1x Schutzbrille</t>
  </si>
  <si>
    <t>CR-068BP</t>
  </si>
  <si>
    <t>Accelerator 410+ schwarz</t>
  </si>
  <si>
    <t>Armbrust Accelerator 410 schwarz 
Diese Compundarmbrust von EK Archery Research (Hersteller Poe Lang) zählt zu den schnellsten Modellen auf dem Markt. Die Accelerator 410 übertrifft nahezu jede andere Armbrust. Sie kommt auf unglaubliche 400 FPS (ca. 439km). 
Die Schulterstütze lässt sich variabel einstellen.
Zuggewicht: 185 lbs
Geschwindigkeit: ca. 400 FPS (ca. 439km/h)
Länge (einstellbar): ca. 90-97cm
Gewicht: 3675g
Leerschussicherungen
Leichter Abzug mit weniger als 3,5lbs
CNC Gefräste Cams
Mittelstück aus Aluminium
Schaft aus Compositmaterial
Bullpup-Abzug - Nach vorne versetzt für bessere Ergonomie.
Picatinnyschiene
Lieferumfang
Zielfernrohr 4x32
Spannhilfe
Sehne
Tragegurt 
Anbauköcher
3 Bolzen 20" aus Carbon</t>
  </si>
  <si>
    <t>CR-063BP</t>
  </si>
  <si>
    <t>GUILLOTINE-M' BLACK 370fps 185LBS SCOPE &amp; ACCES.</t>
  </si>
  <si>
    <t xml:space="preserve">Armbrust PoeLang Guillotine-M black 185lbs
Farbe:                             schwarz
Pfeilgeschwindigkeit:  370fps+/408km/h+
Auszuggewicht:            185lbs
Powerstroke:                13,75''
Gewicht:                        3,63kg
Trockenschusssicherung
empfolene Pfeile 20''
 Maße:
Auszugslänge: 15''
Länge: 35''
Breite: 18''/14''
 Lieferumfang
ZFR 4x32
Sehnenwachs
Pfeilköcher 
3 Carbonpfeile 20''
Spannhilfe
Bitte beachten Sie. dass das Ziel für die Armbrust geeignet sein muss. Wenn die Bolzen zu weit eindringen und die Spitze hinten herausguckt wird sich meistens die Spitze mit dem Insert aus dem Bolzen lösen. Das ist kein Fehler der Bolzen, sondern das Ziel ist dann zu schwach. </t>
  </si>
  <si>
    <t>Steambow</t>
  </si>
  <si>
    <t>CR-097AD130</t>
  </si>
  <si>
    <t>COBRA SYSTEM ADDER</t>
  </si>
  <si>
    <t>Poelang / EK Archery Cobra R9 RX Adder
Die PoeLang / EK Archery Cobra R9 Self Cocking Armbrust kombiniert das Beste aus einer Pistole und einer Recurve Armbrust und macht die R9 Cobra so zu einer der vielseitigsten, selbstspannenden Armbrüste auf dem heutigen Markt.
Die Cobra R9 Adder Armbrust verfügt über ein Magazin mit 5 Bolzen und einen AR Schaft, der die Armbrust für Schützen aller Größen komfortabel macht. Die Cobra R9 Adder ist mit einer Vielzahl von Zubehörschienen ausgestattet, die perfekt für Visiere und Zubehörteile sind.
Die Cobra  Adder von EK Archery revolutioniert den Armbrust Markt! Sie ist eine taktische Armbrust, mit der es möglich ist, 5 Schuss in unter 10 Sekunden treffgenau zu verschießen. Die Adder verfügt über alle Funktionen der R9/RX Deluxe, wie den ausziehbaren AR15 Schaft, den schnell abnehmbaren Gurt und den genialen Spannmechanismus. Die Leerschusssicherung sorgt dafür, dass die Adder nicht mehr gespannt werden kann, sobald das Magazin leer ist.
Technische Daten:
Zuggewicht: 130lbs
Geschwindigkeit: folgt: fps mit 7,5'' Bolzen 
Power Stroke: 7,5''
Gewicht: 4,4lbs / 2,0kg
Lieferumfang:
Armbrust EK Archery Cobra R9 Adder
5 Schuss Magazin
inkl. einstellbaren Halter für Laser oder Taschenlampe)
5 Carbonbolzen zu 7,5" (/speziell für Cobra R9 Adder)
Schmiermittel für die Schiene
Schultergurt für den Transport
einstellbaren Schaft
hochwertiges Red Dot
zusätzlichen Vorderhandgriff
Sicherheitsbrille
1x Ersatzsehne
Highlights:
Starkes, robustes Design
Weicher Griff und Auslöser
Schnellfeuermagazin für 6 Pfeile
Notvisier
abnehmbarer Vordergriff
obere 22mm RIS Schiene für die Montage von taktischem Zubehör
blitzschnelles Nachladen mittels Schnellspannhebel
punktgenaues Zielen mit der integrierten Red Dot Laserzielvorrichtung
Lieferumfang:
- Stinger Laser Pistolenarmbrust
- Vordergriff
- 12 x Armbrust Pfeile 6,5"
Zuggewicht	80 lbs
Spanweite	420 mm
Gesamtlänge	500 mm
Gewicht	1.370 g</t>
  </si>
  <si>
    <t>30935</t>
  </si>
  <si>
    <t>Armbrustpistole Alligator I grün</t>
  </si>
  <si>
    <t>Mit verstellbarer Schulterstütze. Der Korpus ist aus hochwertigem Kunststoff, mit Spezialspannhebel und drei Pfeilen.
Zuggewicht 80 lbs
Gesamtlänge 56 cm, ausgefahren 62 cm</t>
  </si>
  <si>
    <t>30936</t>
  </si>
  <si>
    <t>Armbrustpistole Alligator I schwarz</t>
  </si>
  <si>
    <t>30323</t>
  </si>
  <si>
    <t>Compound Armbrust Gewehr XP-58</t>
  </si>
  <si>
    <t>Mit Hochleistungswurfarmen aus Fiberglas und ausziehbarer Schulterstütze. Lauf und Umlenkrollen sind aus Aluminium-CNC gefräst.
Einschließlich Zielfernrohr 4x32, 4 Stück 21“ Carbonpfeile, Pfeilköcher, Tragegurt, Spannhilfe und Sehnenwachs.
Gewicht ca. 4,85 kg
Zuggewicht 200 lbs
Gesamtlänge 90 cm -100 cm, 5-stufig verstellbar</t>
  </si>
  <si>
    <t>A048248</t>
  </si>
  <si>
    <t>Wildgame XB370</t>
  </si>
  <si>
    <t>Wildgame</t>
  </si>
  <si>
    <t>Wildgame XB370 
Mit der XB370 präsentiert Wildgame eine erschwingliche Compoundarmbrust im Ready to Hunt Package. Dank der hocheffizienten Cams kommt die XB370 auf eine kinetische Energie von 112.5 ft.lbs und beschleunigt die Pfeile dabei auf beachtliche 370 fps. Der Skelettschaft ist für maximalen Komfort mit einem Pistolengriff versehen.
Technische Daten:
Zuggewicht: 185 lbs
Geschwindigkeit: 370 fps (ca. 407 km/h)
Gewicht: 6.4 lbs (ca. 2,9 kg)
Länge: 35,4 Zoll (ca. 90 cm)
Breite (ungespannt): 18,88 Zoll (ca. 48 cm)
Farbe: Elude Camo
Lieferumfang:
Armbrust Wildgame XB370
Multi Rectile Scope 4x32
Anbauköcher
2 Bolzen 20 Zoll
Spannhilfe</t>
  </si>
  <si>
    <t>A047828</t>
  </si>
  <si>
    <t>BARNETT Raptor Pro STR</t>
  </si>
  <si>
    <t>Barnett Raptor Pro STR
Die Raptor Serie ist ohne jeden Zweifel eine der erfolgreichsten von Barnett Crossbows. Aus diesem Grunde folgt die Raptor Pro STR mit Step-Trough Riser als Topmodell aller Raptor Armbrüste. Passend zum optischen Upgrade wird die Leistung der Barnett Raptor Pro STR ebenfalls verbessert - mit einer kinetischen Energie von 140 ft.lbs. sind nun Pfeilgeschwindigkeiten von 400 fps möglich. Verglichen mit anderen Modellen liegt sie somit im oberen Leistungsbereich und wird ihrem Anspruch mehr als gerecht.
Die Raptor Pro STR ist ab Werk mit einer Triggertech Abzugseinheit versehen.
- Fiberglass Composite Step-Through Riser
- Triggertech Frictionless Release Technologie
- Vorderer Handgriff zum Durchgreifen
- Aluminium-Lauf
- Aluminium 7/8" Picatinny Rail
- Kompatibel zum Barnett Kurbelspanner
- String Stop System
- Realtree Xtra camo
Technische Daten:
Gewicht: 6,9 lbs (3,1 kg)
Zuggewicht: 187 lbs
Pfeilgeschwindigkeit: 400 fps / ca. 440 km/h Pfeilgeschwindigkeit
kinetische Energie: 135 ft/lbs
Geräuschentwicklung: leise
Powerstroke: 16.25"
Länge: 36.5 Zoll (ca. 93 cm)
Breite: 20 Zoll (51 cm)
Breite (Achse zu Achse): 17.75 Zoll (ca. 45 cm)
Material Führung und Mittelteil: Aluminium
Leerschusssicherung: ja
Lieferumfang:
Armbrust Raptor Pro STR
4x32 Illuminated Scope
Side-Mount Anbauköcher
Spannhilfe
2 Bolzen Headhunter 22 Zoll
Lubrication Wachs
Sehnendämpfer</t>
  </si>
  <si>
    <t>CR-026G1 - Next G1 Camo</t>
  </si>
  <si>
    <t xml:space="preserve">Compound Armbrust Titan 200LBS  Camo </t>
  </si>
  <si>
    <t>Technische Daten:
Artikel: Compound Armbrust Titan
Zugkraft: 200 lbs / 90 kg
Gewicht: 3.500 g
Farbe: camo
Zuglänge: 14"" / 35 cm
Bolzengeschwindigkeit: 380 fps / 115 ms
Bogenbreite: 24"" / 60 cm
Lieferumfang:
- Armbrust
- Zielfernrohr (4x32)
- Köcher
- Gurt
- Schutzbrille
- Ladehilfe
- Sehnenwachs
- 3 x Carbon Pfeile</t>
  </si>
  <si>
    <t>A046882</t>
  </si>
  <si>
    <t>PSE 'COALITION' 380fps-illuminated scope-Camo</t>
  </si>
  <si>
    <t>PSE</t>
  </si>
  <si>
    <t>Die Compoundarmbrust COALITION von PSE ARCHERY ist schnell und kompakt und mit Trockenschuss-Sicherung, Safty Trigger und Sehenstoppern ausgestattet.
Technische Daten:
Geschwindigkeit: 380-370 fps
Zuggewicht: 185 lbs
Power Stroke: 14,5 Zoll
Axel-to-Axel: 21.5 Zoll
Gesamtlänge: 35-36.5 Zoll
Gewicht 7.5 LBS
Kinetic Energie: 127 FT. LBS
Zubehör:
• DUAL STRING STOPS
• 4-BOLT QUIVER
• ANTI-DRY FIRE &amp; AUTO SAFETY TRIGGER
• 3 x -20” CARBON BOLTS WITH FIELD POINTS
• FOOT STIRRUP
• LIMB DAMPENERS
• COCKING ROPE
• RAIL LUBE</t>
  </si>
  <si>
    <t>A041256</t>
  </si>
  <si>
    <t>ARMBRUST CENTERPOINT CP400 200 LBS 400 FPS + 3X32 ZIELFERNROHR</t>
  </si>
  <si>
    <t>Centerpoint</t>
  </si>
  <si>
    <t>Armbrust Centerpoint CP400 200 lbs 400 fps + Teleskop 3x32
Das Design und die Leistung von CenterPoint Archery wurden mit der Einführung der innovativen CP400-Armbrust weiterentwickelt. CenterPoint Archery setzt mit der lizenzierten HeliCoil-Technologie in Kombination mit einem speziell entwickelten Riser, einem digital gesteuerten Rollensystem und einstellbaren Halterungen Maßstäbe für das Design und die Leistung von Armbrüsten. Die extrem schmale Breite der CP400-Achse ist unglaublich: bewaffnet nur 15 cm breit. Die Armbrust schießt Pfeile mit bis zu 400 fps. Dieses skalierbare Design bietet außergewöhnliche Leistung und Genauigkeit. Automatischer Feuerschutz und automatische Sicherheit, faltbarer Doppelsattel / Zweibein und beleuchtetes Visierteleskop 3x32 mm. CenterPoint Archery bietet eine beschränkte Garantie von 5 Jahren. Diese Hybridarmbrust wird Ihre Erwartungen auf dem Gebiet übertreffen.
Geschwindigkeit der Pfeile: 400 FPS (438,9 km / h)
Länge: 80 cm
Breite im Ruhezustand: 26,7 cm (Riemenscheibenachse mit Riemenscheibenachse)
Breite bewaffnet: 15cm (Riemenscheibenachse mit Riemenscheibenachse)
Gewicht: 3,67 kg
Farbe: Tarnung
Karton inhalt:
- Armbrust Centerpoint CP400
- 3x32 Sichtfeld
- Manuelles Band
- Köcher 3 Pfeile
- 3 Carbonstriche 20 Zoll mit Spikes
- Schmierwachsröhre</t>
  </si>
  <si>
    <t>A046079</t>
  </si>
  <si>
    <t>ROCKY MOUNTAIN RM-415 ARMBRUST 200 LBS 415 FPS</t>
  </si>
  <si>
    <t>Rocky Mountain</t>
  </si>
  <si>
    <t>Rocky Mountain RM-415 Armbrust 200 lbs 415 FPS h2&gt;
Leistung 200 lbs
Geschwindigkeit der Pfeile 415 FPS
Verfügbare Farbe: Tarnung
215 lbs Zweige senden Die Schrauben wurden mit einer Geschwindigkeit von 415 fps * mit beeindruckender Präzision und 146 ft-lbs kinetischer Energie gekreuzt.
Das kraftstoffsparende Exzentersystem ist mit einem Premium-Saitensatz verbunden und deckt 14,5 ab in. von Krafthub, während Sie leicht mit einer Seilspannvorrichtung (im Kit enthalten) bewaffnet werden können, um mühelos die integrierte DFS-Feuerabzugsbaugruppe zu aktivieren. Auf dem einteiligen geformten Tarnschaft sitzt ein ultrahelles, beschlagfreies, stoßfestes und wasserdichtes rot / blau beleuchtetes 4X32-Zielfernrohr mit einem präzise gravierten Absehen mit mehreren Positionen. Mit nur 7,5 lbs ist dieses leistungsorientierte Paket sowohl leicht als auch wendig und misst bei voller Spannung kompakte 14,5 '' WX 35 '' W. Ein großer Bremssattel, zwei Saitenunterdrücker und Saitendämpfer vervollständigen die Leistungsmerkmale des Bogens und sorgen für zusätzliche Benutzerfreundlichkeit und Tarnung, egal ob auf der Strecke oder auf der Jagd Das RM415 Trail Ready to Hunt-Kit enthält eine Seilspannvorrichtung, einen Schnellverschluss mit drei Querbolzen, drei Carbon Express®-Querbolzen mit Antriebspunkten und Schienenschmiermittel. Ein integrierter Aufbewahrungsbereich für Schienenschmiermittel, Anschlagbolzen und ein verstellbarer Griff tragen zum bereits außergewöhnlichen Preis-Leistungs-Verhältnis des Bogens bei.
Die Armbrust Rocky Mountain RM-360 verfügt über:
drei Pfeile
Seitenköcher mit Schnellverschluss
beleuchtetes 4x32-Zielfernrohr (blau-rot)
Seilklappen
manueller Verband
Schienenschmiermittel</t>
  </si>
  <si>
    <t>A047544</t>
  </si>
  <si>
    <t>CENTERPOINT-AMPED-ARMBRUST 200 LBS 415 FPS</t>
  </si>
  <si>
    <t>CENTERPOINT</t>
  </si>
  <si>
    <t>CenterPoint Amped Armbrust 200 lbs 415 FPS h2&gt;
Leistung 200 lbs
Geschwindigkeit der Pfeile 415 FPS
Hublänge (PowerStroke) 14,5 Zoll
Gesamtlänge 36 "
Breite in Ruhe von 15,75"
Bewaffnete Breite von 12 "
Gewicht: 3,5 kg
Verfügbare Farbe: Tarnung
Der CenterPoint® Amped ? 415 Die preisgekrönte Armbrust mit vielen Funktionen bringt sie auf die nächste Stufe.
Mit nur 12 Zoll von Achse zu Achse im gespannten Zustand bietet es Rip-Geschwindigkeiten von bis zu 415 fps und erzeugt bis zu 153 fpe.
Der Amped 415 ist mit dem innovativen Whisper Silencing System ? ausgestattet, das Saitenstopps, Gliedmaßen-Dämpfer und Saiten-Schalldämpfer für ultimative Geräuschreduzierung und Vibrationskontrolle umfasst.
The CenterPoint Amped Armbrust wird geliefert mit:
5 Jahre eingeschränkte Garantie
drei 20-Zoll-Carbonpfeile
Seitenköcher
4x32 mm Zielfernrohr
manuelles Band
Schienenschmiermittel</t>
  </si>
  <si>
    <t>A054552</t>
  </si>
  <si>
    <t>KILLER INSTINCT SWAT XP 200 LBS 415 FPS ARMBRUST</t>
  </si>
  <si>
    <t>KILLER INSTINCT</t>
  </si>
  <si>
    <t>Killer Instinct Swat XP Armbrust: bietet unvergleichliche Kontrolle und Genauigkeit
Diese ultra-kompakte Killer Instinct Swat XP Armbrust feuert mit 415 FPS (455,37 km/h) und hält dabei eine gute Balance. Führung und Unterstützung werden durch das revolutionäre 360-Grad-Design verbessert. Die Flugbahn der Bolzen bei hoher Geschwindigkeit ist unabhängig von der Wahl des Jagdspitzen perfekt. Auch die Oszillation des Killer Instinct Armbrust ist reduziert. Die SWAT XP Steuerung bietet eine unvergleichliche Schussgenauigkeit.
Merkmale der Killer Instinct Swat XP Armbrust:
Zuggewicht: 200 lbs
Bolzengeschwindigkeit: 415 fps oder 455,37 km/h
Länge: 68,58 cm
Breite: gespannt 23,17 cm, ungespannt 35,87 cm
Krafthub: 41,275 cm
Gewicht: 3,3 kg</t>
  </si>
  <si>
    <t>CR-071MP</t>
  </si>
  <si>
    <t>JAG 2 PRO ARMBRUST Camo</t>
  </si>
  <si>
    <t xml:space="preserve">1.STOCK: Verstärkter Verbundschaft, verstellbarer Schaft.
2.AR GRIP: Ergonomisch strukturierter Softgrip mit Fingerrillen für mehr Kontrolle unter allen Bedingungen
3.TRIGGER: Anti-Trocken-Brandschutz.
4.ERWEITERTER BULLPUP-AUSLÖSER: Das Design der Armbrust wird durch Verschieben des Griffs nach vorne verkleinert, um ein ergonomischeres und betrieblicheres Gleichgewicht zu erreichen.
5.LAUF: Aluminium-/Verbundstofflauf mit Picatinny-Schiene
6.STRING STOPPER: Verzögert die Saite und dämpft Vibrationen
7.STRING: Pre-String-Frontend
8.LIMBS: Strapazierfähiges, faserloses Kompressionsdesign, Quad-Gliedmaßen-DesignGESCHWINDIGKEIT
260 FPS
ZUGGEWICHT
175 Pfund
POWER HUB
11"
MASSE GEWICHT (NUR BOGEN)
4.9 Pfund
LÄNGE
30,5-33"1. 3-PUNKT-ROTPUNKT-VISIER
2. SPANNSEIL
3. SCHNURWACHS
4. 3-BOLZEN-KÖCHER/BK
5. BRILLEN
6. SAITENSTOPPER
7. 3 X 2219-16" ALUMINIUMBOLZEN
 </t>
  </si>
  <si>
    <t>CR-071BP</t>
  </si>
  <si>
    <t>JAG 2 PRO ARMBRUST schwarz</t>
  </si>
  <si>
    <t>1.STOCK: Verstärkter Verbundschaft, verstellbarer Schaft.
2.AR GRIP: Ergonomisch strukturierter Softgrip mit Fingerrillen für mehr Kontrolle unter allen Bedingungen
3.TRIGGER: Anti-Trocken-Brandschutz.
4.ERWEITERTER BULLPUP-AUSLÖSER: Das Design der Armbrust wird durch Verschieben des Griffs nach vorne verkleinert, um ein ergonomischeres und betrieblicheres Gleichgewicht zu erreichen.
5.LAUF: Aluminium-/Verbundstofflauf mit Picatinny-Schiene
6.STRING STOPPER: Verzögert die Saite und dämpft Vibrationen
7.STRING: Pre-String-Frontend
8.LIMBS: Strapazierfähiges, faserloses Kompressionsdesign, Quad-Gliedmaßen-DesignGESCHWINDIGKEIT
260 FPS
ZUGGEWICHT
175 Pfund
POWER HUB
11"
MASSE GEWICHT (NUR BOGEN)
4.9 Pfund
LÄNGE
30,5-33"1. 3-PUNKT-ROTPUNKT-VISIER
2. SPANNSEIL
3. SCHNURWACHS
4. 3-BOLZEN-KÖCHER/BK
5. BRILLEN
6. SAITENSTOPPER
7. 3 X 2219-16" ALUMINIUMBOLZEN</t>
  </si>
  <si>
    <t>CENTER POINT CP400 PACKAGE 400FPS / 200LBS</t>
  </si>
  <si>
    <t>CENTERPOINT CP400
Die CENTERPOINT CP400 ist eine leistungsstarke Compundarmbrust. Durch ihren im Vergleich günstigen Preis und beinhalteten Extras kann diese Armbrust gegen High-End Produkte bestehen.
Das aus Aluminium bestehende, CNC gefräste Cam System ist mit der lizensierten HeliCoil Technologie ausgestattet, um den Cams die nötige Balance und dadurch der Armbrust die gewünschte Genauigkeit zu verleihen. Darüberhinaus bleibt die Armburst sehr kompakt und hat bei einer Gesamtlänge von ca. 80cm eine Breite, gemessen im ungespannten Zustand von Achse zu Achse, von ca. 26,5cm. Gespannt reduziert sich ihre Breite weiter auf unter 16cm!
Die CP400 verfügt über eine klappbare Fußstütze, welche nicht nur beim Spannen der Armbrust zum Einsatz kommt, sondern ebenso als Ersatz für ein Zweibein genutzt werden kann. Darüberhinaus lässt sich die Armbrust bequem aufstellen, wenn die Fußstütze umgeklappt wird. Im Kombination mit dem einstellbaren Schaft ist die CP400 einfach zu schultern und je nach Präferenz des Schützen längenverstellbar. Mit ihren Extras ist die Compoundarmbrust ein Allrounder verschiedener Terrains.
Ein wichtiger Aspekt einer guten Armbrust ist ebenso die Sicherheit, weshalb auch die CP400 über eine Anti-Leerschuss und Sicherheitssystem verfügt.
Beim Kauf einer CENTERPOINT CP400 ist folgendes Zubehör enthalten:
3 CP 400 Select Armbrustpfeile (300 Grain + 100 Grain Feldspitzen)
Spannhilfe (Seil, exklusiv für die Rail der CP400)
Köcher und Montagehalterung
Rail Lube
3x32mm beleuchtetes Zielfernrohr
Alle wichtigen Informationen auf einen Blick:
Eigenschaften:
Hohe Genauigkeit auf große Entfernungen
Extrem kompakt - Gespannt weniger als 16cm Achse zu Achse
Viel Zubehör
Leerschusssicherung
Gewicht	ca. 3175g
Kinetische Energie	142 fpe (footpound: 1 fpe = ca. 1,355 J)
Pfeilgeschwindigkeit	400 fps
Länge ohne Fußstütze	ca. 80 cm
Breite	ca. 26,68 cm (ungespannt) / ca. 15,3cm (gespannt)
Power Stroke	13"</t>
  </si>
  <si>
    <t>A055383</t>
  </si>
  <si>
    <t>KILLER INSTINCT RIPPER 425FPS PRO</t>
  </si>
  <si>
    <t>Die RIPPER 425, die jetzt schneller als je zuvor schießt, wurde überarbeitet, um noch mehr Leistung in den Wert des Rippers zu bringen. Die Ripper 425 liefert einen 390-Gramm-Hypr-Bolzen-Downrange mit einer Geschwindigkeit von 425 Fuß pro Sekunde und ist mit Sicherheit ein gewaltiger Schlag. Verstellbarer 5-Positionen-Schulterstütze- und Unterarmgriff für individuellen Komfort und optionale Verwendung mit kompakter DSC-Kurbel (separat erhältlich) für ein Gesamtpaket für die Armbrustjagd.
GESCHWINDIGKEIT - 425 Fuß pro Sekunde
KINETISCHE ENERGIE - 156-FT-LB
TRIGGER - 3,5-LB
WIDTH - 14.375 "Cocked / 17.75" Uncocked
LÄNGE - 32 "-34,5"
GEWICHT - 7,5-LB
ZUGGEWICHT - 200-LB
POWER STROKE - 15 "
CAMO - Chaos AE</t>
  </si>
  <si>
    <t>CR-070MP</t>
  </si>
  <si>
    <t>EK POELANG COMPOUND CROSSBOW SETS BLADE+ 340FPS CAMO</t>
  </si>
  <si>
    <t>EK BLADE+ 175 LBS. Neue professionelle Armbrust mit taktischer Struktur für ein wirklich reduziertes Gewicht, aber mit der gleichen Festigkeit wie andere viel schwerere Metalllegierungen. Ausgestattet mit modernsten Technologien. Ausgezeichnete Angel-, Jagd- und Sportwettkämpfe. Produziert von der EK ARCHERY RESEARCH.
Technisches Blatt:
175 lbs. 
Glasfaserglieder. 
Hub 12,5 "Zoll. 
Picatinny Schlitten. 
Einstellbarer Schaft aus verstärktem Polymer. 
4x32mm Optik 3 20 "Zoll Carbonpfeile aus Aluminium. 
Gläser, Pfeilhalter, Lader und Wachs für Seile enthalten. 
340Fps Geschwindigkeit. 
Länge 85 cm / 91 cm. 
Gewicht 3000 g
FPS	345</t>
  </si>
  <si>
    <t>0000376</t>
  </si>
  <si>
    <t>Steambow AR-6 Stinger II Tactical</t>
  </si>
  <si>
    <t>Die neue AR-6 Stinger II ist da! – Vorbestellungen werden ab Mitte Oktober ausgeliefert!
Damit dieses Produkt nach Deutschland verkauft werden kann, muss uns ein Altersnachweis an sales@steambow.com gesendet werden!
Die Revolution im Bereich der taktischen Armbrüste:
Alles, was die Stinger so beliebt machte, jetzt noch besser.
Mit einer von Grund auf neu entwickelten Basis, neuer Wurfarmtechnologie, einem Leuchtkorn und einem längenverstellbaren Hinterschaft.
Unsere neue Armbrust wurde speziell auf den Repetiermechanismus der Stinger ausgelegt.
Die durchgängige Picatinny-Schiene ermöglicht eine flexible Positionierung des Vordergriffs.
In Kombination mit dem Hinterschaft bringen wir das Spannen der Stinger auf ein neues Level.
Mithilfe des neuen Leuchtkorns wird auch das Zielen schneller und einfacher.
Nie zuvor konnte man so schnell &amp; präzise 6 Pfeile abfeuern!</t>
  </si>
  <si>
    <t>CR-120BP</t>
  </si>
  <si>
    <t>COBRA SYSTEM SIEGE</t>
  </si>
  <si>
    <t>Die legendäre Cobra System Serie von EK Archery wird fortgesetzt und erhält mit der Siege 300 die erste Repetier-Compoundarmbrust in der Familie. Mit der Siege können Bolzen auf beeindruckende 300fps beschleunigt werden, dabei bleibt die Siege so leicht und kompakt wie ihre Schwestern der R-Serie.Spezifikationen
Auszugsgewicht118lbs - 150lbs (einstellbar)
Auszugslänge8.25" (ca. 21cm)
Pfeilgeschwindigkeitbis zu 300fps (mit 283gn 15" Standardbolzen)
Gewicht (max.)ca. 3.4kg
Länge (min. - max.)32.25" - 36.50" (ca. 83 - 93cm)
Bogenbreite (ungespannt)10.5" (ca. 26.6cm)
Bogenbreite (gespannt)6.87" (ca. 17.5cm)
Lieferumfang
1x Cobra System Siege 300
1x beleuchtetes rot/grün Zielfernrohr
3 x 15.5" Carbonbolzen (283gn)
1x Bipod
1x Schultergurt
1x Armbrust-Köcher
1x Sehnenwachs
1x Sicherheitsbrille</t>
  </si>
  <si>
    <t>A047520</t>
  </si>
  <si>
    <t>RAVIN CROSSBOWS R29X - Compoundarmbrust</t>
  </si>
  <si>
    <t>Das neue R29X -Paket von Ravin enthält alles, was Sie für höchste Geschwindigkeit und absolute Präzision benötigen wird. Das R29X-Scharfschützenpaket schießt 3-Zoll-Gruppen auf 100 Meter mit 450 FPS und ist ideal für diejenigen, welche die schnellste und beste Armbrust suchen.
Das R29X Paket ist komplett mit dem neuen, vollständig integrierten Silent Cocking System, HeliCoil Technologie, ausgestattet und wird mit einem taktischen Armbrustzielfernrohr geliefert.
Ebenfalls im Lieferumfang des Pakets enthalten sind eine Zielfernrohr und .003-Pfeile für perfektes Schießen. Erhältlich in Predator Dusk Camo, exklusiv für Ravin-Armbrüste.
Technische Details:
Geschwindigkeit: 450 FPS
Gewicht: 6,75 lbs.
Länge: 29".
Breite Achse zu Achse 6" gespannt
Breite Achse zu Achse 10,5" Ungespannt
Power-Stroke: 12.5?
HeliCoil-Technologie
Geräuschloses Spannsystem
Vollständig montiert/vorabgestimmt
6 - Ravin .003 Pfeile und Feldspitzen (400 Körner insgesamt)
Taktischer Armbrustumfang
1 - Abnehmbarer Zuggriff
1 - Köcher/Montagehalterung
Eingebauter Spannmechanismus
Anti-Trocken-Feuer/Autosicherheit
Eingebaute Sling-Befestigungen
Farbe: Dusk Camo</t>
  </si>
  <si>
    <t>A047521</t>
  </si>
  <si>
    <t>Ravin Armbrust R29X Sniper Dusk Camo</t>
  </si>
  <si>
    <t>Das neue R29X Sniper-Paket von Ravin enthält alles, was Sie für höchste Geschwindigkeit und absolute Präzision benötigen wird. Das R29X-Scharfschützenpaket schießt 3-Zoll-Gruppen auf 100 Meter mit 450 FPS und ist ideal für diejenigen, welche die schnellste und beste Armbrust suchen.
Das R29X Paket ist komplett mit dem neuen, vollständig integrierten Silent Cocking System, HeliCoil Technologie, ausgestattet und wird mit einem taktischen Armbrustzielfernrohr geliefert, das auf einer höhenverstellbaren Montage mit einer Hubplatte montiert ist, die Sie mit einem einfachen Dreh des Drehknopfes zwischen 20 und 200 Metern einstellen können.
Ebenfalls im Lieferumfang des Sniper-Pakets enthalten sind eine Zielfernrohr und .001-Premium-Pfeile für perfektes Schießen. Erhältlich in Predator Dusk Camo, exklusiv für Ravin-Armbrüste.
Technische Details:
Geschwindigkeit: 450 FPS
Gewicht: 6,75 lbs.
Länge: 29".
Breite Achse zu Achse 6" gespannt
Breite Achse zu Achse 10,5" Ungespannt
Power-Stroke: 12.5?
HeliCoil-Technologie
Geräuschloses Spannsystem
Vollständig montiert/vorabgestimmt
6 - Ravin .001 Pfeile und Feldspitzen (400 Körner insgesamt)
Taktischer Armbrustumfang
Höhenverstellbare Halterung für Zielfernrohr
1 - Abnehmbarer Zuggriff
1 - Köcher/Montagehalterung
Eingebauter Spannmechanismus
Anti-Trocken-Feuer/Autosicherheit
Eingebaute Sling-Befestigungen
Farbe: Dusk Camo</t>
  </si>
  <si>
    <t>SKU 0000414</t>
  </si>
  <si>
    <t>Steambow AR-6 Stinger II Compact</t>
  </si>
  <si>
    <t>Beschreibung
Die AR-6 Stinger II „Compact“ ist eine leichte und kompakte Pistolenarmbrust mit einem 6-schüssigen Magazin. Die Compact-Variante ist kompatibel mit allen anderen AR-6 Stinger II Varianten und kann mit entsprechendem Zubehör vielfältig umgebaut werden.
Hergestellt aus hochwertigem Polymer, damit extrem robust, sehr zuverlässig und durch die präzise Fertigung auf Distanzen bis 25 Meter zielgenau. Das direkte Spannsystem benötigt zwar mehr Kraftaufwand als bei der „Tactical“ Variante, dafür sind deutlich schnellere Schussfolgen möglich.
Der verbaute Glas/Carbon Wurfarm mit 35 lbs Zuggewicht ist sehr effizient und erreicht trotz des relativ geringen Zuggewichts eine erstaunlich hohe Energie von 10 Joule – so viel wie die meisten Pistolenarmbrüste erst mit 80 lbs erreichen.
Lieferumfang:
Repetierarmbrustpistole mit Magazin (inkl. integriertem Zubehörfach) und direktem Spannsystem, 35 lbs „Stinger II CQ“ Wurfarm.
6 Bodkinpfeile mit gehärteter, hohl geschliffener Stahlspitze
2 Sehnen
Aufspannhilfe</t>
  </si>
  <si>
    <t>CR-070BP</t>
  </si>
  <si>
    <t>Armbrust BLADE+ black</t>
  </si>
  <si>
    <t xml:space="preserve">Die Blade+ ist eine starke Compoundarmbrust mit einem taktischen Look. Das Auszugsgewicht von 175lbs (ca. 79kg) beschleunigt Bolzen auf bis zu 340fps.Die EK Archery Blade+ Compoundarmbrust baut auf dem Erfolg der ursprünglichen Blade auf und wurde in der Leistung verbessert. Diese hochwertige Armbrust hat ein Auszugsgewicht von 175lbs (ca. 79kg) und beschleunigt Bolzen auf bis zu 340fps (ca. 373km/h). Der Körper wird aus einer Aluminiumlegierung gefertigt, der längenverstellbare Schaft besteht aus einem verstärkten Verbundwerkstoff und der Vordergriff im AR-Stil verleiht der Blade+ einen taktischen Look.
Zusammen mit dem mitgelieferten 4x32-Zielfernrohr triffst du das Ziel auch aus der Ferne sicher. Die Blade wird mit einem gepolsterten Tragegurt, Sehnenwachs, einem Anbauköcher, einer Sehnenspannhilfe, einer Schutzbrille und drei 20" Aluminiumbolzen geliefert.Spezifikationen
TypCompoundarmbrust
Gewicht (ohne Anbauten)6.7lbs (ca. 3kg)
Auszugsgewicht175lbs (ca. 79kg)
Pfeilgeschwindigkeit340fps (ca. 373km/h)
Trockenschusssicherungja
Auszugslänge12.5" (ca. 32cm)
Bogenbreite (ungespannt)17" (ca. 43cm)
Bogenbreite (gespannt)14" (ca. 35cm)
Länge33.5-36" (ca. 85-91cm)
FarbeSchwarz
Sehnen-Dämpfungssystemja
Lieferumfang
1x Blade+ Armbrust
1x Zielfernrohr 4x32
3x 20" Aluminiumbolzen
1x Sehnenspannhilfe
1x Sehnenwachs
1x Anbauköcher
1x Sehnenstopper
1x Schutzbrille
1x Montageschlüssel   </t>
  </si>
  <si>
    <t>A048260</t>
  </si>
  <si>
    <t>BRAVE CAMO 360FPS 165LBS ​COMPOUND ARMBRUST</t>
  </si>
  <si>
    <t>JunXing</t>
  </si>
  <si>
    <t>Bietet einige High-End-Funktionen zu günstigen Preisen. Diese zusammengesetzte Armbrust hat ein Zuggewicht von 165 lbs und eine Nennleistung von 360 fps. All dies wird mit maßgefertigten Composite Wurfarmen von Gordon USA erreicht. Der Brave CTX 360 ist sicher und komfortabel zu handhaben durch Fingerschutz unterhalb der Schiene, Soft-Touch-Pistole und Vordergriff. Sie verfügt über eine eingelegte, schwarz eloxierte Aluminiumschiene, HD-Wurfarmdämpfer und sichere Achsschenkelhalterungen, die Ihnen das Drücken dieser Armbrust erleichtern. Merkmale: - Eingelegte, schwarz eloxierte Aluminiumschiene - Soft-Touch-Pistole und Vordergriff - Fingerschutz unter der Schiene - Custom Composite Gordon USA-Wurfarme mit sicheren Achs-Wurfarmhalterungen - HD-Wurfarm-Dämpfer</t>
  </si>
  <si>
    <t>A055650</t>
  </si>
  <si>
    <t>BRAVE BLACK 360FPS 165LBS ​​COMPOUND ARMBRUST</t>
  </si>
  <si>
    <t>A054379</t>
  </si>
  <si>
    <t>BARNETT ARMBRUST-PAKETE EXPLORER XP 380FPS 180LBS</t>
  </si>
  <si>
    <t>Die brandneue Explorer-Serie bietet beeindruckende Kraft und Leistung in einem erschwinglichen Armbrustpaket. Der XP380 verfügt über einen durchgehenden Vordergriff, einen verstellbaren Hinterschaft und die exklusive schwarze Strike™-Tarnung für ein komplettes Paket, das gut aussieht und besser schießt. Laminierte Gliedmaßen sorgen für zusätzliche Haltbarkeit, sodass die Compound-Armbrust Geschwindigkeiten von bis zu 380 Fuß pro Sekunde erreichen kann. Der Explorer XP380 wird jagdfertig mit zwei Karbonpfeilen, einem 4x32-mm-Multi-Absehen-Zielfernrohr, einer Seilspannvorrichtung und einem leichten Köcher geliefert.</t>
  </si>
  <si>
    <t>A046665</t>
  </si>
  <si>
    <t>CENTER POINT TYRO PAKET 245FPS / 175LBS</t>
  </si>
  <si>
    <t>Die CenterPoint® Tyro™ ist eine großartige Armbrust für traditionelle Armbrustjäger, die die Haltbarkeit und Einfachheit einer Recurve schätzen.
Geschwindigkeit: 245fps
Gewicht: 5 Pfund
Länge: 37"
Breite gespannt: 23,25"
Breite ungespannt: 26"
Krafthub: 10,5"
Einfach zu montierende Wurfarme und Schnur mit einer Aluminiumschiene.
In mehreren Positionen verstellbarer Schaft und praktisches Staufach im Vordergriff.
Anti-Trockenfeuer- und automatischer Sicherheitsauslösemechanismus mit einstellbarem Zielfernrohrturm.</t>
  </si>
  <si>
    <t>CR-068SCP</t>
  </si>
  <si>
    <t>Accelerator 410+ Camo</t>
  </si>
  <si>
    <t>Armbrust Accelerator 410 camo
Diese Compundarmbrust von EK Archery Research (Hersteller Poe Lang) zählt zu den schnellsten Modellen auf dem Markt. Die Accelerator 410 übertrifft nahezu jede andere Armbrust. Sie kommt auf unglaubliche 400 FPS (ca. 439km). 
Die Schulterstütze lässt sich variabel einstellen.
Zuggewicht: 185 lbs
Geschwindigkeit: ca. 400 FPS (ca. 439km/h)
Länge (einstellbar): ca. 90-97cm
Gewicht: 3675g
Leerschussicherungen
Leichter Abzug mit weniger als 3,5lbs
CNC Gefräste Cams
Mittelstück aus Aluminium
Schaft aus Compositmaterial
Bullpup-Abzug - Nach vorne versetzt für bessere Ergonomie.
Picatinnyschiene
Lieferumfang
Zielfernrohr 4x32
Spannhilfe
Sehne
Tragegurt 
Anbauköcher
3 Bolzen 20" aus Carbon</t>
  </si>
  <si>
    <t>A054824</t>
  </si>
  <si>
    <t>Armbrust AXE AX440</t>
  </si>
  <si>
    <t>AXE</t>
  </si>
  <si>
    <t xml:space="preserve">Armbrust AXE AX440 
Die Armbrust AXE AX440 wurde speziell für die Jagd grundlegend neu entwickelt um dem Schützen ein unvergleichliches Schießerlebnis zu bieten. Gleichgewicht, Genauigkeit, Sicherheit, Geschwindigkeit und Haltbarkeit ist mit keiner anderen Armbrust vergleichbar, die die Jagdwelt zuvor erlebt hat. Diese Armbrust ist genau auf den Trigger ausballanciert. Der Schaft ist in Höhe und Länge einstellbar.
technische Daten:
Geschwindigkeit: 440fps
Anzugsgewicht des Triggers: 3,5lbs
Länge: 30,5 - 34,75''
Breite Achse zu Achse ungespannt/gespannt: 11,5''/16,6''
Power Stroke: 15''
Zuggewicht: 204lbs
Gewicht: 10,5lbs
im Lieferumfang enthalten:
- Armbrust AXE AX440
- 3 AXE Bolzen
- neues Multi Range Zielfernrohr, beleuchtet
- integriertes Kurbelspannsystem
- Köcher
</t>
  </si>
  <si>
    <t>A056002</t>
  </si>
  <si>
    <t>Compoundarmbrust CenterPoint Amped 425 mit Power Draw</t>
  </si>
  <si>
    <t>die neu entwickelte Armbrust Amped 425 aus dem Hause CenterPoint erzeugt Geschwindigkeiten von bis zu 425 fps für mehr Präzision und Genauigkeit im Downrange. Die Amped 425 ist mit einem innovativen Dämpfungs-System ausgestattet, welches Sehnenstopper, Dämpfer und spezielle Wurfarme für die ultimative Lärmreduzierung nebst Vibrationskontrolle umfasst. Das sorgt bei dieser Armbrust für eine ausgeprägte Geräuschreduzierung und optimale Vibrationskontrolle.
Ausgestattet ist dieses Modell von CenterPoint mit CNC-gefrästen Alu Cams und Aluminiumschiene sowie einer automatischen Leerschusssicherung und einem verstellbaren Schaft.
Dieses beliebte Armbrust Set beinhaltet sogar die bekannte innovative Spannvorrichtung (Power Draw). Durch dieses Kurbelsystem können Sie Ihre Armbrust bequem spannen.
Das ebenfalls mitgelieferte Zielfernrohr arbeitet in 4-fach Vergrößerung und hat 32 mm Durchmesser.
Die Farbe ist in attraktivem Camo Design.
Kinetische Energie: 160 fpe
Zuggewicht: 190 lbs
Pfeilgeschwindigkeit: 425 fps
Powerstroke: 14.5 Zoll
Länge: ca. 92 - 97,5 cm
Breite (ungespannt): 15,75 Zoll / ca. 40 cm
Breite (gespannt): 12 Zoll / ca. 30,5 cm
Gewicht ca.: 3,54 kg
Geräuschentwicklung: sehr leise
Leerschusssicherung: ja
Picatinny-Schiene: ja
Lieferumfang:
1x Compundarmbrust CenterPoint Amped 425
1x Spannvorrichtung mit Kurbel (Power Draw)
1x Zielfernrohr 4 x 32mm
1x Anbauköcher
3x 20 Zoll Carbonbolzen
1x Sehnenwachs</t>
  </si>
  <si>
    <t>A061407</t>
  </si>
  <si>
    <t>Ravin Armbrust R29X Sniper Black</t>
  </si>
  <si>
    <t>Das R29X Sniper-Paket von Ravin enthält alles, was Sie für Spitzengeschwindigkeit und tödliche Präzision in der Reichweite benötigen.
Geschwindigkeit: 450FPS
Gewicht: 6,75 Pfund.
Länge: 29"
Breite Achse zu Achse 6 Zoll Gespannt
Breite Achse zu Achse 10,5 Zoll Ungespannt
Krafthub: 12,5"
Zugkraft: 12 lbs.
Zuggewicht: 300lbs
HeliCoil-Technologie.
Leises Spannsystem.
Vollständig montiert/vorabgestimmt.
3 – Ravin .001 Pfeile &amp; Feldspitzen (insgesamt 400 Grain).
Einstellbares Revolverzielfernrohr.
Bereichsebene.
Eingebauter Spannmechanismus.
Anti-Trockenfeuer / Auto-Sicherheit.
Eingebaute Sling Mounts.</t>
  </si>
  <si>
    <t>A061404</t>
  </si>
  <si>
    <t xml:space="preserve">Compoundarmbrust CenterPoint Heat 425 </t>
  </si>
  <si>
    <t>die neu entwickelte Armbrust Heat 425 aus dem Hause CenterPoint erzeugt Geschwindigkeiten von bis zu 425 fps für mehr Präzision und Genauigkeit im Downrange. Die Amped 425 ist mit einem innovativen Dämpfungs-System ausgestattet, welches Sehnenstopper, Dämpfer und spezielle Wurfarme für die ultimative Lärmreduzierung nebst Vibrationskontrolle umfasst. Das sorgt bei dieser Armbrust für eine ausgeprägte Geräuschreduzierung und optimale Vibrationskontrolle.
Ausgestattet ist dieses Modell von CenterPoint mit CNC-gefrästen Alu Cams und Aluminiumschiene sowie einer automatischen Leerschusssicherung und einem verstellbaren Schaft.
Das ebenfalls mitgelieferte Zielfernrohr arbeitet in 4-fach Vergrößerung und hat 32 mm Durchmesser.
Die Farbe ist in attraktivem Camo Design.
Kinetische Energie: 160 fpe
Zuggewicht: 190 lbs
Pfeilgeschwindigkeit: 425 fps
Powerstroke: 14.5 Zoll
Länge: ca. 92 - 97,5 cm
Breite (ungespannt): 15,75 Zoll / ca. 40 cm
Breite (gespannt): 12 Zoll / ca. 30,5 cm
Gewicht ca.: 3,54 kg
Geräuschentwicklung: sehr leise
Leerschusssicherung: ja
Picatinny-Schiene: ja
Lieferumfang:
1x Compundarmbrust CenterPoint Amped 425
1x Zielfernrohr 4 x 32mm
1x Anbauköcher
3x 20 Zoll Carbonbolzen
1x Sehnenwachs</t>
  </si>
  <si>
    <t>CR-121B</t>
  </si>
  <si>
    <t>Repetierarmbrust VLAD</t>
  </si>
  <si>
    <t xml:space="preserve">
Es handelt sich um eine Pistolenarmbrust, die leistungsmäßig deutlich unterhalb der "Adder" angesiedelt ist, aber in Punkto Ausstattung und Kompaktheit neue Maßstäbe setzt. Wie bei der "Adder" ist die Armbrust ohne Werkzeuge in die Hauptelemente zerlegbar und der massive Aluminium-Hinterschaft kann sogar eingeklappt werden. Auf diese Weise lässt sich "Vlad" in einigen Sekunden auf das Maß einer kleinen Aktentasche bringen und vollkommen unauffällig transportieren. Durch den abnehmbaren Wurfarm ist ein Austausch leicht möglich. Es werden gleich zwei solcher Wurfarme mitgeliefert: Ein 60 Pfund Bogen und ein 90 Pfund Bogen. 
Das Magazin fasst acht Bolzen und es können auch Jagdpfeile (z.B. die Steambow-Modelle) verwendet werden. Durch den mitgelieferten Speed Loader sind weitere acht Bolzen in Windeseile eingefüllt. Der Speed Loader kann an eine der beiden seitlichen Picatinny-Schienen angeklippst werden. 
Zum Lieferumfang gehört ebenfalls ein hochwertiges Rotpunkt-Visier. "Vlad" kann aber auch mit der integrierten Kimme und Korn Visierung geschossen werden. 
"Vlad" kombiniert extrem kompakte Abmessungen, leichte Spannbarkeit, blitzschnelle Schussfolgen, hohe Pfeilgeschwindigkeiten und hervorragende Wartungsfreundlichkeit!
Lieferumfang:
Repetierarmbrustpistole mit Magazin (8-Schuss)
Schnelllader
60 lbs Wurfarm
90 lbs Wurfarm
16 Pfeile
1 Ersatzsehne
Reddot</t>
  </si>
  <si>
    <t>A041257</t>
  </si>
  <si>
    <t>Excalibur Micro MAG 340</t>
  </si>
  <si>
    <t>Die Micro Mag 340 ist kompakt, leicht und leise und bietet in ihrer Klasse eine unübertroffene Performance. Die Mag 340 ist mit einem Aluminiumrahmen und Wurfarmen der zweiten Generation ausgestattet, dadurch wird ein geringes Gewicht von ca. 2.5kg erreicht. Die Wurfarme sind kürzer als gewöhnlich, schaffen es aber dennoch, Bolzen mit bis zu 340fps, bei einem Zuggewicht von 270lb, zu beschleunigen.
Die Micro Mag 340 verfügt über einen Premium-Abzug mit Guardian-Trockenschussschutzsystem. Es ist ein sanfter Abzug, der bei etwa 3.5lb auslöst. Die ergonomischen und gummierten Griffe ermöglichen ein komfortables Anlegen der Armbrust und die grossen Sicherheitsflügel bieten einen zusätzlichen Schutz.
Das Dead-Zone-Zielfernrohr hat eine hochwertige und mehrfach beschichtete Optik. Das Dead-Zone kann an jede Armbrust mit Geschwindigkeiten zwischen 300 FPS und 410 FPS angepasst werden. Es ermöglicht zielsichere Treffer auf weite Entfernungen.
Excalibur hat die Mag 340 unter dem Namen Axe 340 herausgebracht. Aufgrund von Konflikten mit einer anderen Marke hat Excalibur beschlossen, den Namen in Mag 340 zu ändern. Es ist dieselbe Armbrust, die jetzt nur unter einem anderen Namen erhältlich ist.
Diese Version der Mag 340 kommt im "Realtree Excape"-Finish.Spezifikationen
ModellE73687
FinishRealtree Excape
Gewicht (ohne Anbauten)5.5lbs (ca. 2.5kg)
Trockenschusssicherungja
Auszugsgewicht135lb (ca. 61.2kg )
Auszugslänge13” (ca. 33cm)
Pfeilgeschwindigkeit340fps (ca. 373)
Bogenbreite (ungespannt)25” (ca. 63.5)
Bogenbreite (gespannt)22” (ca. 56)
Länge31.75” (ca. 81cm)
Lieferumfang
1x Excalibur Micro MAG 340 (Realtree Excape)
1x Dead-Zone Zielfernrohr (2-4x32)
1x Anbauköcher für 4 Bolzen
3x Excalibur 16.5" Quill-Bolzen
4x Pfeilspitzen (100gr)
1x Sehnenspannhilfe
1x Manual</t>
  </si>
  <si>
    <t>A055483</t>
  </si>
  <si>
    <t>CENTERPOINT ARMBRUST AMPED 425</t>
  </si>
  <si>
    <t>Das voll gelagerte Nockensystem sorgt für eine reibungslose Energieübertragung beim Schuss
12″ gespannt 15,75″ ungespannt
Die Kugellager-Rückhaltefeder hält die Schrauben an Ort und Stelle
CNC-gefräste Aluminiumschienen und Nocken für Langlebigkeit
Klappbarer Steigbügel und voll einstellbarer Schaft für Komfort und richtige Ausrichtung beim Schießen
Stealth-Schwarzschaft
Komplettes Zubehörpaket4x32 beleuchtetes Zielfernrohr
(3) 20″ .003 Pfeile
Paralleler Köcher
Leises Anlassgerät
SchienenschmiermittelTechnische Daten:     
Pfeilgeschwindigkeit: 425 fps
Kinetische Energie: 160 ft/lbs
Breite gespannt: 12 Zoll
Breite ungespannt: 17,75 Zoll
Gewicht: 7,8 lbs / 3,54 kg
Länge: 36 Zoll / 91,4 cm
Power Stroke: 14,50 Zoll</t>
  </si>
  <si>
    <t>CR-002BA</t>
  </si>
  <si>
    <t>A055484</t>
  </si>
  <si>
    <t>Center Point Dagger Armbrust 390 fps 185 lbs</t>
  </si>
  <si>
    <t>Produktinformationen "Center Point Archery Dagger Armbrust 390 fps 185 lbs"
Die Centerpoit Dagger 390 Armbrust ist ein wahres Hightech-Gerät. Diese Armbrust beschleunigt den Pfeil auf eine Geschwindigkeit von 390 fps bei einem Zuggewicht von nur 185 lbs. Das bedeutet, dass die Armbrust relativ leicht gespannt werden kann und dabei genug Geschwindigkeit und kinetische Energie aufbringt um selbst großes Wild mit Leichtigkeit zu erlegen. Darüber hinaus ist die Dagger 390 besonders präzise. Für leichteres Zielen sorgt ein 4x32 mm Zielfernrohr, womit man selbst aus etwas größeren Entfernungen zielgenau treffen kann. Die Armbrust verfügt über eine Reihe nützlicher Mrkmale, wie beispielsweise dem Whisper Silencing System, den Wurfarmdämpfern und den Sehnendämpfern für ein leises Schießen. Centerpoit Dagger 390 hat außerdem eine Anti-Leerschuss-Sicherung, wodurch die Armbrust versehentlich ohne Pfeil nicht schießen lässt und damit der Schaden an Bogen vermeiden wird.
Produktvideo
Center Point Archery Dagger 390 Compound Armbrust
Merkmale
CNC gefräste Aluminium Cam-Wheels
Aluminium Schiene
Anti-Leerschuss-Sicherung. Abschaltbar damit die Armbrust ohne Schuss entladen werden kann
Anpassbare Schulterstütze
Whisper Silencing System, Verringerung der beim Schießen entstehenden Geräusche
Verstellbarer Schaft
Technische Details
Pfeilgeschwindigkeit 390 fps / 118.872 mps
Kinetische Energie 135 fpe / 183 Joule
Zuggewicht 185 LBS
Power Stroke 14,50 Zoll / 36,83 cm
Gewicht 7,80 lbs
Länge 35,80 Zoll (90,932cm)
Breite gespannt 14,00 Zoll / 35,56 cm 
Breite ungespannt 18,00 Zoll 45,72 cm
Lieferumfang
1 x Center Point Archery Dagger 390 Armbrust
1 x 4x32 mm Zielfernrohr
2 x 20 Zoll Pfeile mit Feldspitze
1 x Köcher
1 x Spannhilfe</t>
  </si>
  <si>
    <t>A056003</t>
  </si>
  <si>
    <t>CENTERPOINT Wrath 430 SILENT CRANK
Die CenterPoint Wrath 430 Silent Crank teilt sich viele technische Eigenschaften mit der Wrath 430X.
Bolzen werden auf eine Geschwindigkeit von bis zu 430 FPS beschleunigt bei einem Zuggewicht von 200 lbs.
Die Bauweise macht die Armbrust kompakt und schlank, sodass sie im gespannten Zustand nur auf eine Breite von 9" (umgerechnet 22,86cm) kommt.
Die größten Unterschiede zur 430X befinden sich in der Schulterstütze und dem Spannvorgang. Während die 430X eine verstellbare Schulterstütze hat, ist die 430 Silent Crank stationär.
Dafür kommt die 430 Silent Crank wie der Name vermuten lässt mit einer geräuscharmen Kurbelspannhilfe. Der Pfeilniederhalter ist eine Kugellager- Rückhaltefeder.
Das Package enthält zudem:
Drei 20-Zoll-.003 Carbonpfeile
4x32mm Zielfernrohr
Abnehmbarer Pfeilköcher
Schienenöl
Gewicht	ca. 3764g
Kinetische Energie	fpe: 164 ft-lbs
Pfeilgeschwindigkeit	430 fps
Power Stroke	15 Zoll
Zuggewicht	200 lbs
Breite	9 Zoll (gespannt)</t>
  </si>
  <si>
    <t>CENTERPOINT WRATH  430FPS mit Kurbelspannhilfe</t>
  </si>
  <si>
    <t>A057205</t>
  </si>
  <si>
    <t>A062225</t>
  </si>
  <si>
    <t>Barnett - Wildcat Recurve 260 fps 165 lbs Camo</t>
  </si>
  <si>
    <t>Barnett - Hyper XP 405 Camo 213 lbs</t>
  </si>
  <si>
    <t xml:space="preserve">Die Gewichtsverteilung und das schmale Profil der Hyper XP 405 verleihen dieser Armbrust eher das Gefühl, mit einer Pistole zu schießen als mit einer Armbrust, was das Ziel der meisten Schützen ist.
Geschwindigkeit: 405 fps
Nettogewicht: 6,6 lbs
Zuggewicht: 213 lbs
Die Hyper XP 405 ist um den HyperFlite-Pfeil mit kleinem Durchmesser herum gebaut.
Sie verfügt über eine Armbrustplattform, die Schießfertigkeiten ohne Anpassungen oder Kompromisse problemlos von einer Form auf eine andere überträgt. </t>
  </si>
  <si>
    <t>CR-122B</t>
  </si>
  <si>
    <t>Die EK Archery REVO 7 ist die neueste Entwicklung (Gen. 3) aus dem Hause EK Archery. Wie schon bei der EK Archery VLAD setzt EK Archery mit der neuen EK Archery REVO 7 neue Maßstäbe – dieses Mal jedoch auf einem ganz neuen Level.
Die EK Archery REVO 7 verfügt über ein Wechselmagazin mit 7 Schuss anstelle eines festen Magazins, das im Handumdrehen durch ein neues ersetzt werden kann.
Der neue Nachlademechanismus (Repetierfunktion) ist bahnbrechend und ermöglicht es, das gesamte Magazin in unter 5 Sekunden zu verschießen. Diese Geschwindigkeit ist unerreicht und deklassiert die Konkurrenz in dieser Kategorie um Längen!
Magazin, Picatinny-Schiene, Wurfarm und Schaft können pfeilschnell ohne Werkzeug zerlegt und wieder zusammengebaut werden, was die EK Archery REVO 7 ultra portabel macht!
Die neu entwickelten Bolzen/Pfeile aus Carbon sind mit 5,5 mm schlanker als die standardmäßigen 6,3 mm Armbrustbolzen. Dies erhöht die Präzision, und damit setzt die EK Archery REVO 7 auch in dieser Disziplin neue Maßstäbe!
Technische Daten:
- Kapazität Magazin, 7 Bolzen/Pfeile
- Wurfarm mit 90 lbs
- Gewicht, ca. 1.85kg
- Länge, ca. 58cm
- Breite, ca. 45cm
- Pfeilgeschwindigkeit, bis zu 235fps (72m/s)
- Kinetische Energie bis zu 24.6 Joule
Lieferumfang:
- 1x Ek Archery REVO 7 Taktische Armbrust
- 1x Ek Archery Rotpunktvisier
- 1x Ek Archery Wechselmagazin
- 1x Wechsel Wurfarm 90lbs mit Sehne vorgespannt
- 1x Hinterschaft
- 7x 5.5" Carbon Bolzen 
- 1x Ersatz Sehne
- 1x Spannschnur
- 1x Schutzbrille
- 1x Sehnenwachs</t>
  </si>
  <si>
    <t>EK Archery REVO 7</t>
  </si>
  <si>
    <t>CR-097AD130A</t>
  </si>
  <si>
    <t>EK Archery Cobra System Adder (7-Schuss) Pistolenarmbrust</t>
  </si>
  <si>
    <t>Fortschrittliche Pistolenarmbrust mit Magazin-Aufsatz. Erweiterung der legendären R9 bzw. RX mit der Möglichkeit, mehrere Bolzen ins Magazin zu laden und innerhalb kürzester Zeit mit bis zu 270fps abzuschießen. Bei uns nur als Deluxe-Package erhältlich, daher mit folgendem Lieferumfang:
EK Adder Armbrust
Magazinaufsatz mit 7-Schuss Magazin
AR-15 Style Schaftverlängerung
Schultergurt
130 Pfund Bogen mit String Stops (baugleich wie bei der RX)
inkl. Ersatzsehne, 2 Ersatztips und Stringer zum Wechseln
2 Picatinny-Schienen vorne seitlich
1 Picatinny-Schiene oben am Magazin (zur Aufnahme einer Visierung)
Aluminium Power Red Dot inkl. Batterie
taktischer Zusatzgriff
inkl. 5 Bolzen
Wachs-Schmierstift</t>
  </si>
  <si>
    <t>A093290</t>
  </si>
  <si>
    <t>KILLER INSTINCT LOGIX DC 435 COMPOUND CROSSBOW PACKAGE</t>
  </si>
  <si>
    <t>Der LogiX™ 435 kombiniert Geschwindigkeit und Kontrolle dank seines synchronisierten X-Cam™-Systems und der innovativen Let-Down™-Triggerbox, mit der Sie die Armbrust sicher entspannen können, ohne abzufeuern. Es misst gespannt nur 17 cm und ist in Killer Instincts robustem Tact-Finish-Tarnmuster lackiert, das Streubildverzerrungen verhindert und auch starker Beanspruchung standhält. Der verstellbare X-Trac-Schaft sorgt für Komfort und Stabilität bei jedem Schuss.
Kompatibel mit der Compact DSC™ Narrow Kurbel (nicht im Lieferumfang enthalten) bietet dieses Setup Flexibilität für Jäger, die einen kurbelbetriebenen Zug bevorzugen. Im Lieferumfang enthalten sind drei hochwertige HYPR™-Verschlüsse, ein 4x32-Zielfernrohr mit Beleuchtung, ein Köcher, ein Seilspanner und Schienenschmiermittel – alles mit einer eingeschränkten lebenslangen Garantie.
Hauptmerkmale
Let-Down™-Abzugskasten: Sicheres und einfaches Entspannen ohne Schussabgabe.
X-Cam™-System: 56 % Let-Off für sanfteres und leiseres Schießen.
Kurbelkompatibel: Kompatibel mit der Compact DSC™ Narrow Kurbel (separat erhältlich).
Tact-Finish-Tarnmuster: Überragende Klarheit und Haltbarkeit.
X-Trac-verstellbarer Schaft: Sanft, leise und ergonomisch.
Anti-Dry Fire-Sicherheit: Verhindert Fehlzündungen
Glasgeätztes Lumix 4x32 Zielfernrohr: Beleuchtet für präzises Zielen
Spezifikationen
Geschwindigkeit: Bis zu 435 FPS
Kinetische Energie: 285 Nm
Zuggewicht: 95 kg
Arbeitsweg: 38 cm
Abzugsgewicht: 1,6 kg
Breite: 17 cm (gespannt) / 27 cm (ungespannt)
Länge: 82 cm–85 cm
Gewicht: 3,5 kg (ohne Fußbügel)
Lieferumfang:
(3) 20" HYPR™ Bolzen (390 g) mit V-Track Nocken
Beleuchtetes 4x32 Lumix Zielfernrohr
Seilspanner
5-Pfeil-Köcher
Schienenschmiermittel</t>
  </si>
  <si>
    <t>Barnett Wildcat
Mit der Wildcat hat Barnett eine leicht zu handhabende klassische Recurve-Armbrust entwickelt. Sie verfügt über eine Trockenschusssicherung, die verhindert, dass die Armbrust abgefeuert wird, wenn kein Bolzen eingelegt ist, und blockiert den Abzug, während der Fingerschutz ein versehentliches Greifen in den Sehnenlauf verhindert.
Die Wildcat hat eine Auszugslänge von 12" und ein Auszugsgewicht von 195 lbs, wodurch Pfeilgeschwindigkeiten von bis zu 260 fps erreicht werden. Im Lieferumfang enthalten sind ein beleuchtetes Leuchtpunktvisier, zwei Aluminiumbolzen mit Feldspitzen, ein Montageköcher und ein leichtes, seitlich montiertes Schnellmontagevisier.
Die Wildcat hat ein Camo-Finish und ist baugleich mit der ganz in schwarz gehaltenen Blackcat.
Spezifikationen
Pfeilgeschwindigkeit260fps (ca. 79m/s)
Auszugsgewicht165lbs (ca. 75kg)
Auszugslänge12″ (ca. 30.5cm)
Gewicht4,8 lbs (ca. 2,2 kg)
Länge35,5 Zoll (ca. 90 cm)
FarbeCamo, Schwarz
Lieferumfang
1x Barnett Wildcat
1x 4x32mm Zielfernrohr
2x 18" Aluminiumbolzen
1x Anbauköcher
1x Sehnenwachs</t>
  </si>
  <si>
    <t>CR-102BP</t>
  </si>
  <si>
    <t>EK Archery Vulcan 415</t>
  </si>
  <si>
    <t>Die EK Archery Vulcan 415 ist eine leistungsstarke Armbrust mit Reverse‑Cam‑System, die Bolzen auf bis zu 415fps (ca. 126m/s) beschleunigt. Mit 200lbs Zuggewicht, integrierter Spannkurbel, 4×32 Zielfernrohr und Zubehör in der Lieferung bietet sie ausgewogene Präzision und Handhabung für ambitionierte Schützen.Die EK Archery Vulcan 415 ist eine moderne Compoundarmbrust mit innovativem Reverse‑Cam‑System. Dieses Design bringt die Cams näher zur Schiene und ermöglicht so eine längere Auszugslänge innerhalb eines kompakteren Rahmens. Die Konstruktion sorgt für eine ausgewogene Balance zwischen Leistung, Kontrolle und Bedienfreundlichkeit – ein Vorteil für Ziel‑ und Feldschützen, die Wert auf hohe Geschwindigkeit und geringe Vibration legen.
Die Armbrust verfügt über ein Zuggewicht von 200lbs und beschleunigt Bolzen auf bis zu beeindruckende 415fps, was sie zu einem der schnelleren Modelle im EK‑Programm macht. Die Auszugslänge von 15″ unterstützt die Effizienz beim Abschuss und trägt zur konstanten Genauigkeit bei. Der kompakte Bogen mit 8″ Achse‑zu‑Achse (gespannt) und 12″ ungespannt macht die Vulcan 415 handlich und gut führbar – ideal für das allgmein freie Schiessen und sportliche Anwendungen. Die Vulcan 415 ist trotz hoher Leistung mit einem Gesamtgewicht von ca. 3.99kg überraschend handlich. Die integrierte Spannkurbel sorgt für ein leichtes Spannen.
Zum Lieferumfang gehört die Armbrust inklusive einem 3‑Bolzen‑Köcher, 3 Carbonbolzen à 20″, ein 4×32 Zielfernrohr mit beleuchtetem Absehen, eine Sicherheitsbrille, Wachs, ein Kabelgleiter und ein Fusssteigbügel, so dass du direkt startklar bist. Pfeilgeschwindigkeit	
415
Auszugsgewicht	
200
Auszugslänge	
15
Gewicht	
3.9
Farbe	
Schwarz
Länge	
77
Bogenbreite	
20, 30</t>
  </si>
  <si>
    <t>Gewicht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</si>
</sst>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quot;Fr.&quot;\ #,##0.00;[Red]&quot;Fr.&quot;\ \-#,##0.00"/>
    <numFmt numFmtId="167" formatCode="_-* #,##0.00\ &quot;€&quot;_-;\-* #,##0.00\ &quot;€&quot;_-;_-* &quot;-&quot;??\ &quot;€&quot;_-;_-@_-"/>
  </numFmts>
  <fonts count="8" x14ac:knownFonts="1">
    <font>
      <sz val="11"/>
      <color theme="1"/>
      <name val="Calibri"/>
      <family val="2"/>
      <scheme val="minor"/>
    </font>
    <font>
      <sz val="11"/>
      <color theme="1"/>
      <name val="Calibri"/>
      <family val="2"/>
      <scheme val="minor"/>
    </font>
    <font>
      <sz val="8"/>
      <color theme="1"/>
      <name val="Calibri"/>
      <family val="2"/>
      <scheme val="minor"/>
    </font>
    <font>
      <sz val="8"/>
      <name val="Calibri"/>
      <family val="2"/>
      <scheme val="minor"/>
    </font>
    <font>
      <u/>
      <sz val="11"/>
      <color theme="10"/>
      <name val="Calibri"/>
      <family val="2"/>
      <scheme val="minor"/>
    </font>
    <font>
      <u/>
      <sz val="8"/>
      <name val="Calibri"/>
      <family val="2"/>
      <scheme val="minor"/>
    </font>
    <font>
      <b/>
      <sz val="8"/>
      <color theme="1"/>
      <name val="Calibri"/>
      <family val="2"/>
      <scheme val="minor"/>
    </font>
    <font>
      <sz val="11"/>
      <color indexed="8"/>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s>
  <cellStyleXfs count="10">
    <xf numFmtId="0" fontId="0" fillId="0" borderId="0"/>
    <xf numFmtId="44" fontId="1" fillId="0" borderId="0" applyFont="0" applyFill="0" applyBorder="0" applyAlignment="0" applyProtection="0"/>
    <xf numFmtId="0" fontId="4"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7" fillId="0" borderId="0"/>
    <xf numFmtId="167" fontId="1" fillId="0" borderId="0" applyFont="0" applyFill="0" applyBorder="0" applyAlignment="0" applyProtection="0"/>
    <xf numFmtId="164" fontId="1" fillId="0" borderId="0" applyFont="0" applyFill="0" applyBorder="0" applyAlignment="0" applyProtection="0"/>
  </cellStyleXfs>
  <cellXfs count="27">
    <xf numFmtId="0" fontId="0" fillId="0" borderId="0" xfId="0"/>
    <xf numFmtId="0" fontId="2" fillId="0" borderId="1" xfId="0" applyFont="1" applyBorder="1"/>
    <xf numFmtId="0" fontId="2" fillId="0" borderId="1" xfId="1" applyNumberFormat="1" applyFont="1" applyBorder="1"/>
    <xf numFmtId="0" fontId="2" fillId="0" borderId="0" xfId="0" applyFont="1"/>
    <xf numFmtId="1" fontId="2" fillId="0" borderId="1" xfId="0" applyNumberFormat="1" applyFont="1" applyBorder="1"/>
    <xf numFmtId="0" fontId="2" fillId="0" borderId="0" xfId="0" applyFont="1" applyAlignment="1">
      <alignment horizontal="center"/>
    </xf>
    <xf numFmtId="0" fontId="2" fillId="0" borderId="0" xfId="1" applyNumberFormat="1" applyFont="1"/>
    <xf numFmtId="1" fontId="2" fillId="0" borderId="0" xfId="0" applyNumberFormat="1" applyFont="1"/>
    <xf numFmtId="164" fontId="6" fillId="0" borderId="2" xfId="0" applyNumberFormat="1" applyFont="1" applyBorder="1" applyAlignment="1">
      <alignment horizontal="center"/>
    </xf>
    <xf numFmtId="0" fontId="2" fillId="2" borderId="0" xfId="0" applyFont="1" applyFill="1"/>
    <xf numFmtId="0" fontId="2" fillId="2" borderId="1" xfId="0" applyFont="1" applyFill="1" applyBorder="1" applyAlignment="1">
      <alignment horizontal="center"/>
    </xf>
    <xf numFmtId="0" fontId="3" fillId="0" borderId="1" xfId="0" applyFont="1" applyBorder="1"/>
    <xf numFmtId="0" fontId="3" fillId="0" borderId="1" xfId="1" applyNumberFormat="1" applyFont="1" applyFill="1" applyBorder="1"/>
    <xf numFmtId="0" fontId="3" fillId="0" borderId="1" xfId="0" applyFont="1" applyBorder="1" applyAlignment="1">
      <alignment wrapText="1"/>
    </xf>
    <xf numFmtId="164" fontId="3" fillId="0" borderId="1" xfId="0" applyNumberFormat="1" applyFont="1" applyBorder="1"/>
    <xf numFmtId="0" fontId="3" fillId="0" borderId="0" xfId="0" applyFont="1"/>
    <xf numFmtId="1" fontId="3" fillId="0" borderId="1" xfId="0" applyNumberFormat="1" applyFont="1" applyBorder="1"/>
    <xf numFmtId="0" fontId="3" fillId="0" borderId="1" xfId="0" applyFont="1" applyBorder="1" applyAlignment="1">
      <alignment horizontal="left" vertical="center" wrapText="1"/>
    </xf>
    <xf numFmtId="0" fontId="5" fillId="0" borderId="1" xfId="2" applyFont="1" applyFill="1" applyBorder="1"/>
    <xf numFmtId="0" fontId="3" fillId="0" borderId="1" xfId="0" quotePrefix="1" applyFont="1" applyBorder="1"/>
    <xf numFmtId="0" fontId="3" fillId="0" borderId="3" xfId="0" applyFont="1" applyBorder="1"/>
    <xf numFmtId="0" fontId="3" fillId="0" borderId="3" xfId="1" applyNumberFormat="1" applyFont="1" applyFill="1" applyBorder="1"/>
    <xf numFmtId="1" fontId="3" fillId="0" borderId="3" xfId="0" applyNumberFormat="1" applyFont="1" applyBorder="1"/>
    <xf numFmtId="0" fontId="3" fillId="0" borderId="3" xfId="0" applyFont="1" applyBorder="1" applyAlignment="1">
      <alignment wrapText="1"/>
    </xf>
    <xf numFmtId="164" fontId="3" fillId="0" borderId="3" xfId="0" applyNumberFormat="1" applyFont="1" applyBorder="1"/>
    <xf numFmtId="166" fontId="3" fillId="0" borderId="1" xfId="0" applyNumberFormat="1" applyFont="1" applyBorder="1"/>
    <xf numFmtId="49" fontId="3" fillId="0" borderId="1" xfId="0" applyNumberFormat="1" applyFont="1" applyBorder="1"/>
  </cellXfs>
  <cellStyles count="10">
    <cellStyle name="Link" xfId="2" builtinId="8"/>
    <cellStyle name="Standard" xfId="0" builtinId="0"/>
    <cellStyle name="Standard 2" xfId="7" xr:uid="{C6348820-8E85-46B0-B5EA-02FBCCC211A6}"/>
    <cellStyle name="Währung" xfId="1" builtinId="4"/>
    <cellStyle name="Währung 2" xfId="3" xr:uid="{2C27D4A0-A690-47D6-B132-4162D3A33498}"/>
    <cellStyle name="Währung 2 2 2" xfId="6" xr:uid="{221F709C-A724-4FAC-8B45-DAED25DA39F4}"/>
    <cellStyle name="Währung 3" xfId="8" xr:uid="{C0C77DBA-CD89-4C03-8F36-3D35C141A5BC}"/>
    <cellStyle name="Währung 4" xfId="4" xr:uid="{5EB333DD-41A7-4E88-B4BE-60A0FCF2B9CF}"/>
    <cellStyle name="Währung 5" xfId="5" xr:uid="{8D67345A-E7A7-41B4-B6D6-95B6527A21B7}"/>
    <cellStyle name="Währung 6" xfId="9"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467D-599B-42A3-B81E-638F277B5723}">
  <sheetPr codeName="Tabelle4"/>
  <dimension ref="A1:AC84"/>
  <sheetViews>
    <sheetView tabSelected="1" topLeftCell="A43" workbookViewId="0">
      <selection activeCell="A2" sqref="A2:A76"/>
    </sheetView>
  </sheetViews>
  <sheetFormatPr baseColWidth="10" defaultColWidth="11.42578125" defaultRowHeight="11.25" x14ac:dyDescent="0.2"/>
  <cols>
    <col min="1" max="1" width="2.7109375" style="3" bestFit="1" customWidth="1"/>
    <col min="2" max="2" width="2.42578125" style="3" bestFit="1" customWidth="1"/>
    <col min="3" max="3" width="2.5703125" style="3" bestFit="1" customWidth="1"/>
    <col min="4" max="4" width="2.7109375" style="3" bestFit="1" customWidth="1"/>
    <col min="5" max="5" width="3" style="3" bestFit="1" customWidth="1"/>
    <col min="6" max="6" width="10.28515625" style="3" bestFit="1" customWidth="1"/>
    <col min="7" max="7" width="18.140625" style="3" bestFit="1" customWidth="1"/>
    <col min="8" max="8" width="7.7109375" style="3" bestFit="1" customWidth="1"/>
    <col min="9" max="9" width="50.7109375" style="3" customWidth="1"/>
    <col min="10" max="10" width="26.7109375" style="3" bestFit="1" customWidth="1"/>
    <col min="11" max="11" width="11.85546875" style="3" bestFit="1" customWidth="1"/>
    <col min="12" max="12" width="12" style="6" bestFit="1" customWidth="1"/>
    <col min="13" max="13" width="10.42578125" style="3" bestFit="1" customWidth="1"/>
    <col min="14" max="14" width="10.42578125" style="6" bestFit="1" customWidth="1"/>
    <col min="15" max="15" width="18.140625" style="3" bestFit="1" customWidth="1"/>
    <col min="16" max="16" width="8.42578125" style="3" bestFit="1" customWidth="1"/>
    <col min="17" max="17" width="11.7109375" style="3" bestFit="1" customWidth="1"/>
    <col min="18" max="18" width="12.140625" style="7" bestFit="1" customWidth="1"/>
    <col min="19" max="19" width="255.7109375" style="3" bestFit="1" customWidth="1"/>
    <col min="20" max="20" width="61.42578125" style="3" bestFit="1" customWidth="1"/>
    <col min="21" max="21" width="28.140625" style="3" bestFit="1" customWidth="1"/>
    <col min="22" max="22" width="67.7109375" style="3" bestFit="1" customWidth="1"/>
    <col min="23" max="23" width="11.42578125" style="3" bestFit="1"/>
    <col min="24" max="24" width="14.140625" style="3" bestFit="1" customWidth="1"/>
    <col min="25" max="25" width="37.42578125" style="3" bestFit="1" customWidth="1"/>
    <col min="26" max="26" width="15.85546875" style="3" bestFit="1" customWidth="1"/>
    <col min="27" max="28" width="10.42578125" style="3" bestFit="1" customWidth="1"/>
    <col min="29" max="29" width="11.42578125" style="9"/>
    <col min="30" max="16384" width="11.42578125" style="3"/>
  </cols>
  <sheetData>
    <row r="1" spans="1:29" ht="15" customHeight="1" x14ac:dyDescent="0.2">
      <c r="A1" s="1"/>
      <c r="B1" s="1" t="s">
        <v>0</v>
      </c>
      <c r="C1" s="1" t="s">
        <v>1</v>
      </c>
      <c r="D1" s="1" t="s">
        <v>2</v>
      </c>
      <c r="E1" s="1" t="s">
        <v>3</v>
      </c>
      <c r="F1" s="1" t="s">
        <v>29</v>
      </c>
      <c r="G1" s="1" t="s">
        <v>4</v>
      </c>
      <c r="H1" s="1" t="s">
        <v>5</v>
      </c>
      <c r="I1" s="1" t="s">
        <v>6</v>
      </c>
      <c r="J1" s="1" t="s">
        <v>7</v>
      </c>
      <c r="K1" s="1" t="s">
        <v>8</v>
      </c>
      <c r="L1" s="2" t="s">
        <v>9</v>
      </c>
      <c r="M1" s="1" t="s">
        <v>10</v>
      </c>
      <c r="N1" s="2" t="s">
        <v>11</v>
      </c>
      <c r="O1" s="1" t="s">
        <v>12</v>
      </c>
      <c r="P1" s="1" t="s">
        <v>13</v>
      </c>
      <c r="Q1" s="1" t="s">
        <v>14</v>
      </c>
      <c r="R1" s="4" t="s">
        <v>15</v>
      </c>
      <c r="S1" s="1" t="s">
        <v>16</v>
      </c>
      <c r="T1" s="1" t="s">
        <v>17</v>
      </c>
      <c r="U1" s="1" t="s">
        <v>18</v>
      </c>
      <c r="V1" s="1" t="s">
        <v>19</v>
      </c>
      <c r="W1" s="1" t="s">
        <v>20</v>
      </c>
      <c r="X1" s="1" t="s">
        <v>21</v>
      </c>
      <c r="Y1" s="1" t="s">
        <v>22</v>
      </c>
      <c r="Z1" s="1" t="s">
        <v>23</v>
      </c>
      <c r="AA1" s="1" t="s">
        <v>24</v>
      </c>
      <c r="AB1" s="1" t="s">
        <v>25</v>
      </c>
      <c r="AC1" s="10" t="s">
        <v>271</v>
      </c>
    </row>
    <row r="2" spans="1:29" s="15" customFormat="1" ht="15" customHeight="1" x14ac:dyDescent="0.2">
      <c r="A2" s="11">
        <v>1</v>
      </c>
      <c r="B2" s="11"/>
      <c r="C2" s="11"/>
      <c r="D2" s="11"/>
      <c r="E2" s="11"/>
      <c r="F2" s="11">
        <v>4</v>
      </c>
      <c r="G2" s="11" t="s">
        <v>246</v>
      </c>
      <c r="H2" s="11">
        <v>1</v>
      </c>
      <c r="I2" s="11" t="s">
        <v>30</v>
      </c>
      <c r="J2" s="11" t="s">
        <v>31</v>
      </c>
      <c r="K2" s="11"/>
      <c r="L2" s="12">
        <v>69</v>
      </c>
      <c r="M2" s="11">
        <v>53</v>
      </c>
      <c r="N2" s="12">
        <v>21</v>
      </c>
      <c r="O2" s="11" t="str">
        <f t="shared" ref="O2:O22" si="0">G2</f>
        <v>CR-002BA</v>
      </c>
      <c r="P2" s="11" t="s">
        <v>35</v>
      </c>
      <c r="Q2" s="11" t="s">
        <v>35</v>
      </c>
      <c r="R2" s="16">
        <v>4710933461026</v>
      </c>
      <c r="S2" s="13" t="s">
        <v>32</v>
      </c>
      <c r="T2" s="11" t="str">
        <f t="shared" ref="T2:T22" si="1">$I2 &amp; "," &amp; $J2 &amp;"," &amp; $P2 &amp;","&amp; $Q2</f>
        <v>Armbrustpistole Cobra,Accueil,Outdoor plus,Armbrust,Recurve,Ek Archery,Ek Archery</v>
      </c>
      <c r="U2" s="11" t="s">
        <v>30</v>
      </c>
      <c r="V2" s="11" t="str">
        <f t="shared" ref="V2:V22" si="2">T2</f>
        <v>Armbrustpistole Cobra,Accueil,Outdoor plus,Armbrust,Recurve,Ek Archery,Ek Archery</v>
      </c>
      <c r="W2" s="11">
        <v>1</v>
      </c>
      <c r="X2" s="11">
        <v>1</v>
      </c>
      <c r="Y2" s="18" t="str">
        <f xml:space="preserve"> "http://usfh.ch/img/Armbrust/" &amp; G2 &amp; ".jpg"</f>
        <v>http://usfh.ch/img/Armbrust/CR-002BA.jpg</v>
      </c>
      <c r="Z2" s="11" t="str">
        <f t="shared" ref="Z2:Z22" si="3">G2</f>
        <v>CR-002BA</v>
      </c>
      <c r="AA2" s="14">
        <f t="shared" ref="AA2:AA22" si="4">F2*L2</f>
        <v>276</v>
      </c>
      <c r="AB2" s="14">
        <f t="shared" ref="AB2:AB22" si="5">F2*N2</f>
        <v>84</v>
      </c>
      <c r="AC2" s="11">
        <v>2</v>
      </c>
    </row>
    <row r="3" spans="1:29" s="15" customFormat="1" ht="15" customHeight="1" x14ac:dyDescent="0.2">
      <c r="A3" s="11">
        <v>2</v>
      </c>
      <c r="B3" s="11"/>
      <c r="C3" s="11"/>
      <c r="D3" s="11"/>
      <c r="E3" s="11"/>
      <c r="F3" s="11">
        <v>4</v>
      </c>
      <c r="G3" s="11" t="s">
        <v>33</v>
      </c>
      <c r="H3" s="11">
        <v>1</v>
      </c>
      <c r="I3" s="11" t="s">
        <v>34</v>
      </c>
      <c r="J3" s="11" t="s">
        <v>31</v>
      </c>
      <c r="K3" s="11"/>
      <c r="L3" s="12">
        <v>89</v>
      </c>
      <c r="M3" s="11">
        <v>53</v>
      </c>
      <c r="N3" s="12">
        <v>24.4</v>
      </c>
      <c r="O3" s="11" t="str">
        <f t="shared" si="0"/>
        <v>CR-039W4</v>
      </c>
      <c r="P3" s="11" t="s">
        <v>35</v>
      </c>
      <c r="Q3" s="11" t="s">
        <v>35</v>
      </c>
      <c r="R3" s="16">
        <v>4710933461217</v>
      </c>
      <c r="S3" s="13" t="s">
        <v>36</v>
      </c>
      <c r="T3" s="11" t="str">
        <f t="shared" si="1"/>
        <v>Armbrustpistole Cobra Holzlook,Accueil,Outdoor plus,Armbrust,Recurve,Ek Archery,Ek Archery</v>
      </c>
      <c r="U3" s="11" t="s">
        <v>34</v>
      </c>
      <c r="V3" s="11" t="str">
        <f t="shared" si="2"/>
        <v>Armbrustpistole Cobra Holzlook,Accueil,Outdoor plus,Armbrust,Recurve,Ek Archery,Ek Archery</v>
      </c>
      <c r="W3" s="11">
        <v>1</v>
      </c>
      <c r="X3" s="11">
        <v>1</v>
      </c>
      <c r="Y3" s="18" t="str">
        <f t="shared" ref="Y3:Y66" si="6" xml:space="preserve"> "http://usfh.ch/img/Armbrust/" &amp; G3 &amp; ".jpg"</f>
        <v>http://usfh.ch/img/Armbrust/CR-039W4.jpg</v>
      </c>
      <c r="Z3" s="11" t="str">
        <f t="shared" si="3"/>
        <v>CR-039W4</v>
      </c>
      <c r="AA3" s="14">
        <f t="shared" si="4"/>
        <v>356</v>
      </c>
      <c r="AB3" s="14">
        <f t="shared" si="5"/>
        <v>97.6</v>
      </c>
      <c r="AC3" s="11">
        <v>2</v>
      </c>
    </row>
    <row r="4" spans="1:29" s="15" customFormat="1" ht="15" customHeight="1" x14ac:dyDescent="0.2">
      <c r="A4" s="11">
        <v>3</v>
      </c>
      <c r="B4" s="11"/>
      <c r="C4" s="11"/>
      <c r="D4" s="11"/>
      <c r="E4" s="11"/>
      <c r="F4" s="11">
        <v>5</v>
      </c>
      <c r="G4" s="11" t="s">
        <v>37</v>
      </c>
      <c r="H4" s="11">
        <v>1</v>
      </c>
      <c r="I4" s="11" t="s">
        <v>38</v>
      </c>
      <c r="J4" s="11" t="s">
        <v>31</v>
      </c>
      <c r="K4" s="11"/>
      <c r="L4" s="12">
        <v>89</v>
      </c>
      <c r="M4" s="11">
        <v>53</v>
      </c>
      <c r="N4" s="12">
        <v>22.4</v>
      </c>
      <c r="O4" s="11" t="str">
        <f t="shared" si="0"/>
        <v>CR-039BK</v>
      </c>
      <c r="P4" s="11" t="s">
        <v>35</v>
      </c>
      <c r="Q4" s="11" t="s">
        <v>35</v>
      </c>
      <c r="R4" s="16">
        <v>4710933461218</v>
      </c>
      <c r="S4" s="13" t="s">
        <v>36</v>
      </c>
      <c r="T4" s="11" t="str">
        <f t="shared" si="1"/>
        <v>Armbrustpistole Cobra schwarz,Accueil,Outdoor plus,Armbrust,Recurve,Ek Archery,Ek Archery</v>
      </c>
      <c r="U4" s="11" t="s">
        <v>34</v>
      </c>
      <c r="V4" s="11" t="str">
        <f t="shared" si="2"/>
        <v>Armbrustpistole Cobra schwarz,Accueil,Outdoor plus,Armbrust,Recurve,Ek Archery,Ek Archery</v>
      </c>
      <c r="W4" s="11">
        <v>1</v>
      </c>
      <c r="X4" s="11">
        <v>1</v>
      </c>
      <c r="Y4" s="18" t="str">
        <f t="shared" si="6"/>
        <v>http://usfh.ch/img/Armbrust/CR-039BK.jpg</v>
      </c>
      <c r="Z4" s="11" t="str">
        <f t="shared" si="3"/>
        <v>CR-039BK</v>
      </c>
      <c r="AA4" s="14">
        <f t="shared" si="4"/>
        <v>445</v>
      </c>
      <c r="AB4" s="14">
        <f t="shared" si="5"/>
        <v>112</v>
      </c>
      <c r="AC4" s="11">
        <v>2</v>
      </c>
    </row>
    <row r="5" spans="1:29" s="15" customFormat="1" ht="15" customHeight="1" x14ac:dyDescent="0.2">
      <c r="A5" s="11">
        <v>4</v>
      </c>
      <c r="B5" s="11"/>
      <c r="C5" s="11">
        <v>1</v>
      </c>
      <c r="D5" s="11"/>
      <c r="E5" s="11"/>
      <c r="F5" s="11">
        <v>0</v>
      </c>
      <c r="G5" s="11">
        <v>12507</v>
      </c>
      <c r="H5" s="11">
        <v>1</v>
      </c>
      <c r="I5" s="11" t="s">
        <v>39</v>
      </c>
      <c r="J5" s="11" t="s">
        <v>31</v>
      </c>
      <c r="K5" s="11"/>
      <c r="L5" s="12">
        <v>169</v>
      </c>
      <c r="M5" s="11">
        <v>53</v>
      </c>
      <c r="N5" s="12">
        <v>81.75</v>
      </c>
      <c r="O5" s="11">
        <f t="shared" si="0"/>
        <v>12507</v>
      </c>
      <c r="P5" s="11" t="s">
        <v>40</v>
      </c>
      <c r="Q5" s="11" t="s">
        <v>40</v>
      </c>
      <c r="R5" s="16"/>
      <c r="S5" s="11" t="s">
        <v>41</v>
      </c>
      <c r="T5" s="11" t="str">
        <f t="shared" si="1"/>
        <v>Python Set,Accueil,Outdoor plus,Armbrust,Recurve,Black Flash,Black Flash</v>
      </c>
      <c r="U5" s="11" t="s">
        <v>39</v>
      </c>
      <c r="V5" s="11" t="str">
        <f t="shared" si="2"/>
        <v>Python Set,Accueil,Outdoor plus,Armbrust,Recurve,Black Flash,Black Flash</v>
      </c>
      <c r="W5" s="11">
        <v>1</v>
      </c>
      <c r="X5" s="11">
        <v>1</v>
      </c>
      <c r="Y5" s="18" t="str">
        <f t="shared" si="6"/>
        <v>http://usfh.ch/img/Armbrust/12507.jpg</v>
      </c>
      <c r="Z5" s="11">
        <f t="shared" si="3"/>
        <v>12507</v>
      </c>
      <c r="AA5" s="14">
        <f t="shared" si="4"/>
        <v>0</v>
      </c>
      <c r="AB5" s="14">
        <f t="shared" si="5"/>
        <v>0</v>
      </c>
      <c r="AC5" s="11">
        <v>10</v>
      </c>
    </row>
    <row r="6" spans="1:29" s="15" customFormat="1" ht="15" customHeight="1" x14ac:dyDescent="0.2">
      <c r="A6" s="11">
        <v>5</v>
      </c>
      <c r="B6" s="11">
        <v>1</v>
      </c>
      <c r="C6" s="11"/>
      <c r="D6" s="11"/>
      <c r="E6" s="11"/>
      <c r="F6" s="11">
        <v>1</v>
      </c>
      <c r="G6" s="11">
        <v>30944</v>
      </c>
      <c r="H6" s="11">
        <v>1</v>
      </c>
      <c r="I6" s="11" t="s">
        <v>30</v>
      </c>
      <c r="J6" s="11" t="s">
        <v>31</v>
      </c>
      <c r="K6" s="11"/>
      <c r="L6" s="12">
        <v>89</v>
      </c>
      <c r="M6" s="11">
        <v>53</v>
      </c>
      <c r="N6" s="12">
        <v>32.1</v>
      </c>
      <c r="O6" s="11">
        <f t="shared" si="0"/>
        <v>30944</v>
      </c>
      <c r="P6" s="11" t="s">
        <v>26</v>
      </c>
      <c r="Q6" s="11" t="s">
        <v>26</v>
      </c>
      <c r="R6" s="16">
        <v>4050346309448</v>
      </c>
      <c r="S6" s="11" t="s">
        <v>42</v>
      </c>
      <c r="T6" s="11" t="str">
        <f t="shared" si="1"/>
        <v>Armbrustpistole Cobra,Accueil,Outdoor plus,Armbrust,Recurve,Haller,Haller</v>
      </c>
      <c r="U6" s="11" t="s">
        <v>30</v>
      </c>
      <c r="V6" s="11" t="str">
        <f t="shared" si="2"/>
        <v>Armbrustpistole Cobra,Accueil,Outdoor plus,Armbrust,Recurve,Haller,Haller</v>
      </c>
      <c r="W6" s="11">
        <v>1</v>
      </c>
      <c r="X6" s="11">
        <v>1</v>
      </c>
      <c r="Y6" s="18" t="str">
        <f t="shared" si="6"/>
        <v>http://usfh.ch/img/Armbrust/30944.jpg</v>
      </c>
      <c r="Z6" s="11">
        <f t="shared" si="3"/>
        <v>30944</v>
      </c>
      <c r="AA6" s="14">
        <f t="shared" si="4"/>
        <v>89</v>
      </c>
      <c r="AB6" s="14">
        <f t="shared" si="5"/>
        <v>32.1</v>
      </c>
      <c r="AC6" s="11">
        <v>2</v>
      </c>
    </row>
    <row r="7" spans="1:29" s="15" customFormat="1" ht="15" customHeight="1" x14ac:dyDescent="0.2">
      <c r="A7" s="11">
        <v>6</v>
      </c>
      <c r="B7" s="11"/>
      <c r="C7" s="11">
        <v>1</v>
      </c>
      <c r="D7" s="11"/>
      <c r="E7" s="11"/>
      <c r="F7" s="11">
        <v>0</v>
      </c>
      <c r="G7" s="11">
        <v>30814</v>
      </c>
      <c r="H7" s="11">
        <v>1</v>
      </c>
      <c r="I7" s="11" t="s">
        <v>43</v>
      </c>
      <c r="J7" s="11" t="s">
        <v>31</v>
      </c>
      <c r="K7" s="11"/>
      <c r="L7" s="12">
        <v>49</v>
      </c>
      <c r="M7" s="11">
        <v>53</v>
      </c>
      <c r="N7" s="12">
        <v>14.95</v>
      </c>
      <c r="O7" s="11">
        <f t="shared" si="0"/>
        <v>30814</v>
      </c>
      <c r="P7" s="11" t="s">
        <v>26</v>
      </c>
      <c r="Q7" s="11" t="s">
        <v>26</v>
      </c>
      <c r="R7" s="16">
        <v>4050346308144</v>
      </c>
      <c r="S7" s="11" t="s">
        <v>44</v>
      </c>
      <c r="T7" s="11" t="str">
        <f t="shared" si="1"/>
        <v>Armbrustpistole ,Accueil,Outdoor plus,Armbrust,Recurve,Haller,Haller</v>
      </c>
      <c r="U7" s="11" t="s">
        <v>45</v>
      </c>
      <c r="V7" s="11" t="str">
        <f t="shared" si="2"/>
        <v>Armbrustpistole ,Accueil,Outdoor plus,Armbrust,Recurve,Haller,Haller</v>
      </c>
      <c r="W7" s="11">
        <v>1</v>
      </c>
      <c r="X7" s="11">
        <v>1</v>
      </c>
      <c r="Y7" s="18" t="str">
        <f t="shared" si="6"/>
        <v>http://usfh.ch/img/Armbrust/30814.jpg</v>
      </c>
      <c r="Z7" s="11">
        <f t="shared" si="3"/>
        <v>30814</v>
      </c>
      <c r="AA7" s="14">
        <f t="shared" si="4"/>
        <v>0</v>
      </c>
      <c r="AB7" s="14">
        <f t="shared" si="5"/>
        <v>0</v>
      </c>
      <c r="AC7" s="11">
        <v>2</v>
      </c>
    </row>
    <row r="8" spans="1:29" s="15" customFormat="1" ht="15" customHeight="1" x14ac:dyDescent="0.2">
      <c r="A8" s="11">
        <v>7</v>
      </c>
      <c r="B8" s="11"/>
      <c r="C8" s="11"/>
      <c r="D8" s="11"/>
      <c r="E8" s="11"/>
      <c r="F8" s="11">
        <v>0</v>
      </c>
      <c r="G8" s="11" t="s">
        <v>46</v>
      </c>
      <c r="H8" s="11">
        <v>1</v>
      </c>
      <c r="I8" s="11" t="s">
        <v>47</v>
      </c>
      <c r="J8" s="11" t="s">
        <v>48</v>
      </c>
      <c r="K8" s="11"/>
      <c r="L8" s="12">
        <v>990</v>
      </c>
      <c r="M8" s="11">
        <v>53</v>
      </c>
      <c r="N8" s="12">
        <v>475</v>
      </c>
      <c r="O8" s="11" t="str">
        <f t="shared" si="0"/>
        <v>KBS-78246</v>
      </c>
      <c r="P8" s="11" t="s">
        <v>49</v>
      </c>
      <c r="Q8" s="11" t="s">
        <v>50</v>
      </c>
      <c r="R8" s="16"/>
      <c r="S8" s="11" t="s">
        <v>51</v>
      </c>
      <c r="T8" s="11" t="str">
        <f t="shared" si="1"/>
        <v>Barnett Raptor Reverse,Accueil,Outdoor plus,Armbrust,Compound,SSA,Barnett</v>
      </c>
      <c r="U8" s="11" t="s">
        <v>52</v>
      </c>
      <c r="V8" s="11" t="str">
        <f t="shared" si="2"/>
        <v>Barnett Raptor Reverse,Accueil,Outdoor plus,Armbrust,Compound,SSA,Barnett</v>
      </c>
      <c r="W8" s="11">
        <v>1</v>
      </c>
      <c r="X8" s="11">
        <v>1</v>
      </c>
      <c r="Y8" s="18" t="str">
        <f t="shared" si="6"/>
        <v>http://usfh.ch/img/Armbrust/KBS-78246.jpg</v>
      </c>
      <c r="Z8" s="11" t="str">
        <f t="shared" si="3"/>
        <v>KBS-78246</v>
      </c>
      <c r="AA8" s="14">
        <f t="shared" si="4"/>
        <v>0</v>
      </c>
      <c r="AB8" s="14">
        <f t="shared" si="5"/>
        <v>0</v>
      </c>
      <c r="AC8" s="11">
        <v>10</v>
      </c>
    </row>
    <row r="9" spans="1:29" s="15" customFormat="1" ht="15" customHeight="1" x14ac:dyDescent="0.2">
      <c r="A9" s="11">
        <v>8</v>
      </c>
      <c r="B9" s="11"/>
      <c r="C9" s="11"/>
      <c r="D9" s="11"/>
      <c r="E9" s="11"/>
      <c r="F9" s="11">
        <v>0</v>
      </c>
      <c r="G9" s="11" t="s">
        <v>53</v>
      </c>
      <c r="H9" s="11">
        <v>1</v>
      </c>
      <c r="I9" s="11" t="s">
        <v>54</v>
      </c>
      <c r="J9" s="11" t="s">
        <v>48</v>
      </c>
      <c r="K9" s="11"/>
      <c r="L9" s="12">
        <v>1490</v>
      </c>
      <c r="M9" s="11">
        <v>53</v>
      </c>
      <c r="N9" s="12">
        <v>1085.3</v>
      </c>
      <c r="O9" s="11" t="str">
        <f t="shared" si="0"/>
        <v>KBS-78044</v>
      </c>
      <c r="P9" s="11" t="s">
        <v>49</v>
      </c>
      <c r="Q9" s="11" t="s">
        <v>50</v>
      </c>
      <c r="R9" s="16"/>
      <c r="S9" s="11" t="s">
        <v>55</v>
      </c>
      <c r="T9" s="11" t="str">
        <f t="shared" si="1"/>
        <v>Barnett Ghost 415 Black,Accueil,Outdoor plus,Armbrust,Compound,SSA,Barnett</v>
      </c>
      <c r="U9" s="11" t="s">
        <v>56</v>
      </c>
      <c r="V9" s="11" t="str">
        <f t="shared" si="2"/>
        <v>Barnett Ghost 415 Black,Accueil,Outdoor plus,Armbrust,Compound,SSA,Barnett</v>
      </c>
      <c r="W9" s="11">
        <v>1</v>
      </c>
      <c r="X9" s="11">
        <v>1</v>
      </c>
      <c r="Y9" s="18" t="str">
        <f t="shared" si="6"/>
        <v>http://usfh.ch/img/Armbrust/KBS-78044.jpg</v>
      </c>
      <c r="Z9" s="11" t="str">
        <f t="shared" si="3"/>
        <v>KBS-78044</v>
      </c>
      <c r="AA9" s="14">
        <f t="shared" si="4"/>
        <v>0</v>
      </c>
      <c r="AB9" s="14">
        <f t="shared" si="5"/>
        <v>0</v>
      </c>
      <c r="AC9" s="11">
        <v>10</v>
      </c>
    </row>
    <row r="10" spans="1:29" s="15" customFormat="1" ht="15" customHeight="1" x14ac:dyDescent="0.2">
      <c r="A10" s="11">
        <v>9</v>
      </c>
      <c r="B10" s="11"/>
      <c r="C10" s="11"/>
      <c r="D10" s="11"/>
      <c r="E10" s="11"/>
      <c r="F10" s="11">
        <v>0</v>
      </c>
      <c r="G10" s="11" t="s">
        <v>57</v>
      </c>
      <c r="H10" s="11">
        <v>1</v>
      </c>
      <c r="I10" s="11" t="s">
        <v>58</v>
      </c>
      <c r="J10" s="11" t="s">
        <v>48</v>
      </c>
      <c r="K10" s="11"/>
      <c r="L10" s="12">
        <v>1490</v>
      </c>
      <c r="M10" s="11">
        <v>53</v>
      </c>
      <c r="N10" s="12">
        <v>1085.3</v>
      </c>
      <c r="O10" s="11" t="str">
        <f t="shared" si="0"/>
        <v>KBS-78059</v>
      </c>
      <c r="P10" s="11" t="s">
        <v>49</v>
      </c>
      <c r="Q10" s="11" t="s">
        <v>50</v>
      </c>
      <c r="R10" s="16"/>
      <c r="S10" s="11" t="s">
        <v>55</v>
      </c>
      <c r="T10" s="11" t="str">
        <f t="shared" si="1"/>
        <v>Barnett Ghost 415 Camo,Accueil,Outdoor plus,Armbrust,Compound,SSA,Barnett</v>
      </c>
      <c r="U10" s="11" t="s">
        <v>59</v>
      </c>
      <c r="V10" s="11" t="str">
        <f t="shared" si="2"/>
        <v>Barnett Ghost 415 Camo,Accueil,Outdoor plus,Armbrust,Compound,SSA,Barnett</v>
      </c>
      <c r="W10" s="11">
        <v>1</v>
      </c>
      <c r="X10" s="11">
        <v>1</v>
      </c>
      <c r="Y10" s="18" t="str">
        <f t="shared" si="6"/>
        <v>http://usfh.ch/img/Armbrust/KBS-78059.jpg</v>
      </c>
      <c r="Z10" s="11" t="str">
        <f t="shared" si="3"/>
        <v>KBS-78059</v>
      </c>
      <c r="AA10" s="14">
        <f t="shared" si="4"/>
        <v>0</v>
      </c>
      <c r="AB10" s="14">
        <f t="shared" si="5"/>
        <v>0</v>
      </c>
      <c r="AC10" s="11">
        <v>10</v>
      </c>
    </row>
    <row r="11" spans="1:29" s="15" customFormat="1" ht="15" customHeight="1" x14ac:dyDescent="0.2">
      <c r="A11" s="11">
        <v>10</v>
      </c>
      <c r="B11" s="11"/>
      <c r="C11" s="11"/>
      <c r="D11" s="11"/>
      <c r="E11" s="11"/>
      <c r="F11" s="11">
        <v>0</v>
      </c>
      <c r="G11" s="11" t="s">
        <v>60</v>
      </c>
      <c r="H11" s="11">
        <v>1</v>
      </c>
      <c r="I11" s="11" t="s">
        <v>61</v>
      </c>
      <c r="J11" s="11" t="s">
        <v>48</v>
      </c>
      <c r="K11" s="11"/>
      <c r="L11" s="12">
        <v>1099</v>
      </c>
      <c r="M11" s="11">
        <v>53</v>
      </c>
      <c r="N11" s="12">
        <v>583.35</v>
      </c>
      <c r="O11" s="11" t="str">
        <f t="shared" si="0"/>
        <v>KBS-78401</v>
      </c>
      <c r="P11" s="11" t="s">
        <v>49</v>
      </c>
      <c r="Q11" s="11" t="s">
        <v>50</v>
      </c>
      <c r="R11" s="16"/>
      <c r="S11" s="11" t="s">
        <v>62</v>
      </c>
      <c r="T11" s="11" t="str">
        <f t="shared" si="1"/>
        <v>Barnett Penetrator Camo ,Accueil,Outdoor plus,Armbrust,Compound,SSA,Barnett</v>
      </c>
      <c r="U11" s="11" t="s">
        <v>61</v>
      </c>
      <c r="V11" s="11" t="str">
        <f t="shared" si="2"/>
        <v>Barnett Penetrator Camo ,Accueil,Outdoor plus,Armbrust,Compound,SSA,Barnett</v>
      </c>
      <c r="W11" s="11">
        <v>1</v>
      </c>
      <c r="X11" s="11">
        <v>1</v>
      </c>
      <c r="Y11" s="18" t="str">
        <f t="shared" si="6"/>
        <v>http://usfh.ch/img/Armbrust/KBS-78401.jpg</v>
      </c>
      <c r="Z11" s="11" t="str">
        <f t="shared" si="3"/>
        <v>KBS-78401</v>
      </c>
      <c r="AA11" s="14">
        <f t="shared" si="4"/>
        <v>0</v>
      </c>
      <c r="AB11" s="14">
        <f t="shared" si="5"/>
        <v>0</v>
      </c>
      <c r="AC11" s="11">
        <v>10</v>
      </c>
    </row>
    <row r="12" spans="1:29" s="15" customFormat="1" ht="15" customHeight="1" x14ac:dyDescent="0.2">
      <c r="A12" s="11">
        <v>11</v>
      </c>
      <c r="B12" s="11"/>
      <c r="C12" s="11"/>
      <c r="D12" s="11"/>
      <c r="E12" s="11"/>
      <c r="F12" s="11">
        <v>0</v>
      </c>
      <c r="G12" s="11" t="s">
        <v>63</v>
      </c>
      <c r="H12" s="11">
        <v>1</v>
      </c>
      <c r="I12" s="11" t="s">
        <v>64</v>
      </c>
      <c r="J12" s="11" t="s">
        <v>48</v>
      </c>
      <c r="K12" s="11"/>
      <c r="L12" s="12">
        <v>910</v>
      </c>
      <c r="M12" s="11">
        <v>53</v>
      </c>
      <c r="N12" s="12">
        <v>480.1</v>
      </c>
      <c r="O12" s="11" t="str">
        <f t="shared" si="0"/>
        <v>KBS-78040</v>
      </c>
      <c r="P12" s="11" t="s">
        <v>49</v>
      </c>
      <c r="Q12" s="11" t="s">
        <v>50</v>
      </c>
      <c r="R12" s="16"/>
      <c r="S12" s="11" t="s">
        <v>65</v>
      </c>
      <c r="T12" s="11" t="str">
        <f t="shared" si="1"/>
        <v>Barnett Quad Edge Black,Accueil,Outdoor plus,Armbrust,Compound,SSA,Barnett</v>
      </c>
      <c r="U12" s="11" t="s">
        <v>64</v>
      </c>
      <c r="V12" s="11" t="str">
        <f t="shared" si="2"/>
        <v>Barnett Quad Edge Black,Accueil,Outdoor plus,Armbrust,Compound,SSA,Barnett</v>
      </c>
      <c r="W12" s="11">
        <v>1</v>
      </c>
      <c r="X12" s="11">
        <v>1</v>
      </c>
      <c r="Y12" s="18" t="str">
        <f t="shared" si="6"/>
        <v>http://usfh.ch/img/Armbrust/KBS-78040.jpg</v>
      </c>
      <c r="Z12" s="11" t="str">
        <f t="shared" si="3"/>
        <v>KBS-78040</v>
      </c>
      <c r="AA12" s="14">
        <f t="shared" si="4"/>
        <v>0</v>
      </c>
      <c r="AB12" s="14">
        <f t="shared" si="5"/>
        <v>0</v>
      </c>
      <c r="AC12" s="11">
        <v>10</v>
      </c>
    </row>
    <row r="13" spans="1:29" s="15" customFormat="1" ht="15" customHeight="1" x14ac:dyDescent="0.2">
      <c r="A13" s="11">
        <v>12</v>
      </c>
      <c r="B13" s="11"/>
      <c r="C13" s="11"/>
      <c r="D13" s="11"/>
      <c r="E13" s="11"/>
      <c r="F13" s="11">
        <v>0</v>
      </c>
      <c r="G13" s="11" t="s">
        <v>66</v>
      </c>
      <c r="H13" s="11">
        <v>1</v>
      </c>
      <c r="I13" s="11" t="s">
        <v>67</v>
      </c>
      <c r="J13" s="11" t="s">
        <v>48</v>
      </c>
      <c r="K13" s="11"/>
      <c r="L13" s="12">
        <v>980</v>
      </c>
      <c r="M13" s="11">
        <v>53</v>
      </c>
      <c r="N13" s="12">
        <v>518</v>
      </c>
      <c r="O13" s="11" t="str">
        <f t="shared" si="0"/>
        <v>KBS-78041</v>
      </c>
      <c r="P13" s="11" t="s">
        <v>49</v>
      </c>
      <c r="Q13" s="11" t="s">
        <v>50</v>
      </c>
      <c r="R13" s="16"/>
      <c r="S13" s="11" t="s">
        <v>68</v>
      </c>
      <c r="T13" s="11" t="str">
        <f t="shared" si="1"/>
        <v>Barnett Quad Edge S Camo,Accueil,Outdoor plus,Armbrust,Compound,SSA,Barnett</v>
      </c>
      <c r="U13" s="11" t="s">
        <v>67</v>
      </c>
      <c r="V13" s="11" t="str">
        <f t="shared" si="2"/>
        <v>Barnett Quad Edge S Camo,Accueil,Outdoor plus,Armbrust,Compound,SSA,Barnett</v>
      </c>
      <c r="W13" s="11">
        <v>1</v>
      </c>
      <c r="X13" s="11">
        <v>1</v>
      </c>
      <c r="Y13" s="18" t="str">
        <f t="shared" si="6"/>
        <v>http://usfh.ch/img/Armbrust/KBS-78041.jpg</v>
      </c>
      <c r="Z13" s="11" t="str">
        <f t="shared" si="3"/>
        <v>KBS-78041</v>
      </c>
      <c r="AA13" s="14">
        <f t="shared" si="4"/>
        <v>0</v>
      </c>
      <c r="AB13" s="14">
        <f t="shared" si="5"/>
        <v>0</v>
      </c>
      <c r="AC13" s="11">
        <v>10</v>
      </c>
    </row>
    <row r="14" spans="1:29" s="15" customFormat="1" ht="15" customHeight="1" x14ac:dyDescent="0.2">
      <c r="A14" s="11">
        <v>13</v>
      </c>
      <c r="B14" s="11"/>
      <c r="C14" s="11"/>
      <c r="D14" s="11"/>
      <c r="E14" s="11"/>
      <c r="F14" s="11">
        <v>0</v>
      </c>
      <c r="G14" s="11" t="s">
        <v>69</v>
      </c>
      <c r="H14" s="11">
        <v>1</v>
      </c>
      <c r="I14" s="11" t="s">
        <v>70</v>
      </c>
      <c r="J14" s="11" t="s">
        <v>48</v>
      </c>
      <c r="K14" s="11"/>
      <c r="L14" s="12">
        <v>1790</v>
      </c>
      <c r="M14" s="11">
        <v>53</v>
      </c>
      <c r="N14" s="12">
        <v>1380.65</v>
      </c>
      <c r="O14" s="11" t="str">
        <f t="shared" si="0"/>
        <v>KBS-78210</v>
      </c>
      <c r="P14" s="11" t="s">
        <v>49</v>
      </c>
      <c r="Q14" s="11" t="s">
        <v>50</v>
      </c>
      <c r="R14" s="16"/>
      <c r="S14" s="11" t="s">
        <v>71</v>
      </c>
      <c r="T14" s="11" t="str">
        <f t="shared" si="1"/>
        <v>Barnett Razr black,Accueil,Outdoor plus,Armbrust,Compound,SSA,Barnett</v>
      </c>
      <c r="U14" s="11" t="s">
        <v>72</v>
      </c>
      <c r="V14" s="11" t="str">
        <f t="shared" si="2"/>
        <v>Barnett Razr black,Accueil,Outdoor plus,Armbrust,Compound,SSA,Barnett</v>
      </c>
      <c r="W14" s="11">
        <v>1</v>
      </c>
      <c r="X14" s="11">
        <v>1</v>
      </c>
      <c r="Y14" s="18" t="str">
        <f t="shared" si="6"/>
        <v>http://usfh.ch/img/Armbrust/KBS-78210.jpg</v>
      </c>
      <c r="Z14" s="11" t="str">
        <f t="shared" si="3"/>
        <v>KBS-78210</v>
      </c>
      <c r="AA14" s="14">
        <f t="shared" si="4"/>
        <v>0</v>
      </c>
      <c r="AB14" s="14">
        <f t="shared" si="5"/>
        <v>0</v>
      </c>
      <c r="AC14" s="11">
        <v>10</v>
      </c>
    </row>
    <row r="15" spans="1:29" s="15" customFormat="1" ht="15" customHeight="1" x14ac:dyDescent="0.2">
      <c r="A15" s="11">
        <v>14</v>
      </c>
      <c r="B15" s="11"/>
      <c r="C15" s="11"/>
      <c r="D15" s="11"/>
      <c r="E15" s="11"/>
      <c r="F15" s="11">
        <v>0</v>
      </c>
      <c r="G15" s="11" t="s">
        <v>73</v>
      </c>
      <c r="H15" s="11">
        <v>1</v>
      </c>
      <c r="I15" s="11" t="s">
        <v>74</v>
      </c>
      <c r="J15" s="11" t="s">
        <v>31</v>
      </c>
      <c r="K15" s="11"/>
      <c r="L15" s="12">
        <v>740</v>
      </c>
      <c r="M15" s="11">
        <v>53</v>
      </c>
      <c r="N15" s="12">
        <v>438</v>
      </c>
      <c r="O15" s="11" t="str">
        <f t="shared" si="0"/>
        <v>KBS-EX-6850</v>
      </c>
      <c r="P15" s="11" t="s">
        <v>49</v>
      </c>
      <c r="Q15" s="11" t="s">
        <v>75</v>
      </c>
      <c r="R15" s="16"/>
      <c r="S15" s="17" t="s">
        <v>76</v>
      </c>
      <c r="T15" s="11" t="str">
        <f t="shared" si="1"/>
        <v>EXCALIBUR Matrix Grizzly 305 Mossy Oak,Accueil,Outdoor plus,Armbrust,Recurve,SSA,Excalibur</v>
      </c>
      <c r="U15" s="11" t="s">
        <v>74</v>
      </c>
      <c r="V15" s="11" t="str">
        <f t="shared" si="2"/>
        <v>EXCALIBUR Matrix Grizzly 305 Mossy Oak,Accueil,Outdoor plus,Armbrust,Recurve,SSA,Excalibur</v>
      </c>
      <c r="W15" s="11">
        <v>1</v>
      </c>
      <c r="X15" s="11">
        <v>1</v>
      </c>
      <c r="Y15" s="18" t="str">
        <f t="shared" si="6"/>
        <v>http://usfh.ch/img/Armbrust/KBS-EX-6850.jpg</v>
      </c>
      <c r="Z15" s="11" t="str">
        <f t="shared" si="3"/>
        <v>KBS-EX-6850</v>
      </c>
      <c r="AA15" s="14">
        <f t="shared" si="4"/>
        <v>0</v>
      </c>
      <c r="AB15" s="14">
        <f t="shared" si="5"/>
        <v>0</v>
      </c>
      <c r="AC15" s="11">
        <v>10</v>
      </c>
    </row>
    <row r="16" spans="1:29" s="15" customFormat="1" ht="15" customHeight="1" x14ac:dyDescent="0.2">
      <c r="A16" s="11">
        <v>15</v>
      </c>
      <c r="B16" s="11"/>
      <c r="C16" s="11"/>
      <c r="D16" s="11"/>
      <c r="E16" s="11"/>
      <c r="F16" s="11">
        <v>0</v>
      </c>
      <c r="G16" s="11" t="s">
        <v>77</v>
      </c>
      <c r="H16" s="11">
        <v>1</v>
      </c>
      <c r="I16" s="11" t="s">
        <v>78</v>
      </c>
      <c r="J16" s="11" t="s">
        <v>48</v>
      </c>
      <c r="K16" s="11"/>
      <c r="L16" s="12">
        <v>850</v>
      </c>
      <c r="M16" s="11">
        <v>53</v>
      </c>
      <c r="N16" s="12">
        <v>570.1</v>
      </c>
      <c r="O16" s="11" t="str">
        <f t="shared" si="0"/>
        <v>KBS-BE-A6BRZBK125</v>
      </c>
      <c r="P16" s="11" t="s">
        <v>49</v>
      </c>
      <c r="Q16" s="11" t="s">
        <v>79</v>
      </c>
      <c r="R16" s="16"/>
      <c r="S16" s="11" t="s">
        <v>80</v>
      </c>
      <c r="T16" s="11" t="str">
        <f t="shared" si="1"/>
        <v>Bear BRUZER FFL,Accueil,Outdoor plus,Armbrust,Compound,SSA,BEAR ARCHERY</v>
      </c>
      <c r="U16" s="11" t="s">
        <v>78</v>
      </c>
      <c r="V16" s="11" t="str">
        <f t="shared" si="2"/>
        <v>Bear BRUZER FFL,Accueil,Outdoor plus,Armbrust,Compound,SSA,BEAR ARCHERY</v>
      </c>
      <c r="W16" s="11">
        <v>1</v>
      </c>
      <c r="X16" s="11">
        <v>1</v>
      </c>
      <c r="Y16" s="18" t="str">
        <f t="shared" si="6"/>
        <v>http://usfh.ch/img/Armbrust/KBS-BE-A6BRZBK125.jpg</v>
      </c>
      <c r="Z16" s="11" t="str">
        <f t="shared" si="3"/>
        <v>KBS-BE-A6BRZBK125</v>
      </c>
      <c r="AA16" s="14">
        <f t="shared" si="4"/>
        <v>0</v>
      </c>
      <c r="AB16" s="14">
        <f t="shared" si="5"/>
        <v>0</v>
      </c>
      <c r="AC16" s="11">
        <v>10</v>
      </c>
    </row>
    <row r="17" spans="1:29" s="15" customFormat="1" ht="15" customHeight="1" x14ac:dyDescent="0.2">
      <c r="A17" s="11">
        <v>16</v>
      </c>
      <c r="B17" s="11"/>
      <c r="C17" s="11"/>
      <c r="D17" s="11"/>
      <c r="E17" s="11"/>
      <c r="F17" s="11">
        <v>0</v>
      </c>
      <c r="G17" s="11" t="s">
        <v>81</v>
      </c>
      <c r="H17" s="11">
        <v>1</v>
      </c>
      <c r="I17" s="11" t="s">
        <v>82</v>
      </c>
      <c r="J17" s="11" t="s">
        <v>31</v>
      </c>
      <c r="K17" s="11"/>
      <c r="L17" s="12">
        <v>420</v>
      </c>
      <c r="M17" s="11">
        <v>53</v>
      </c>
      <c r="N17" s="12">
        <v>207.7</v>
      </c>
      <c r="O17" s="11" t="str">
        <f t="shared" si="0"/>
        <v>KBS-CST-2008J</v>
      </c>
      <c r="P17" s="11" t="s">
        <v>49</v>
      </c>
      <c r="Q17" s="11" t="s">
        <v>83</v>
      </c>
      <c r="R17" s="16"/>
      <c r="S17" s="11" t="s">
        <v>84</v>
      </c>
      <c r="T17" s="11" t="str">
        <f t="shared" si="1"/>
        <v>Jandao Chase Star 225 LBS ZXXL225 Set,Accueil,Outdoor plus,Armbrust,Recurve,SSA,Jandao</v>
      </c>
      <c r="U17" s="11" t="s">
        <v>82</v>
      </c>
      <c r="V17" s="11" t="str">
        <f t="shared" si="2"/>
        <v>Jandao Chase Star 225 LBS ZXXL225 Set,Accueil,Outdoor plus,Armbrust,Recurve,SSA,Jandao</v>
      </c>
      <c r="W17" s="11">
        <v>1</v>
      </c>
      <c r="X17" s="11">
        <v>1</v>
      </c>
      <c r="Y17" s="18" t="str">
        <f t="shared" si="6"/>
        <v>http://usfh.ch/img/Armbrust/KBS-CST-2008J.jpg</v>
      </c>
      <c r="Z17" s="11" t="str">
        <f t="shared" si="3"/>
        <v>KBS-CST-2008J</v>
      </c>
      <c r="AA17" s="14">
        <f t="shared" si="4"/>
        <v>0</v>
      </c>
      <c r="AB17" s="14">
        <f t="shared" si="5"/>
        <v>0</v>
      </c>
      <c r="AC17" s="11">
        <v>10</v>
      </c>
    </row>
    <row r="18" spans="1:29" s="15" customFormat="1" ht="15" customHeight="1" x14ac:dyDescent="0.2">
      <c r="A18" s="11">
        <v>17</v>
      </c>
      <c r="B18" s="11"/>
      <c r="C18" s="11"/>
      <c r="D18" s="11"/>
      <c r="E18" s="11"/>
      <c r="F18" s="11">
        <v>0</v>
      </c>
      <c r="G18" s="11" t="s">
        <v>85</v>
      </c>
      <c r="H18" s="11">
        <v>1</v>
      </c>
      <c r="I18" s="11" t="s">
        <v>86</v>
      </c>
      <c r="J18" s="11" t="s">
        <v>48</v>
      </c>
      <c r="K18" s="11"/>
      <c r="L18" s="12">
        <v>449</v>
      </c>
      <c r="M18" s="11">
        <v>53</v>
      </c>
      <c r="N18" s="12">
        <v>219.9</v>
      </c>
      <c r="O18" s="11" t="str">
        <f t="shared" si="0"/>
        <v>a03</v>
      </c>
      <c r="P18" s="11" t="s">
        <v>49</v>
      </c>
      <c r="Q18" s="11" t="s">
        <v>83</v>
      </c>
      <c r="R18" s="16"/>
      <c r="S18" s="11" t="s">
        <v>87</v>
      </c>
      <c r="T18" s="11" t="str">
        <f t="shared" si="1"/>
        <v>Jandao ZRXL2/155 350fps BARTON,Accueil,Outdoor plus,Armbrust,Compound,SSA,Jandao</v>
      </c>
      <c r="U18" s="11" t="s">
        <v>86</v>
      </c>
      <c r="V18" s="11" t="str">
        <f t="shared" si="2"/>
        <v>Jandao ZRXL2/155 350fps BARTON,Accueil,Outdoor plus,Armbrust,Compound,SSA,Jandao</v>
      </c>
      <c r="W18" s="11">
        <v>1</v>
      </c>
      <c r="X18" s="11">
        <v>1</v>
      </c>
      <c r="Y18" s="18" t="str">
        <f t="shared" si="6"/>
        <v>http://usfh.ch/img/Armbrust/a03.jpg</v>
      </c>
      <c r="Z18" s="11" t="str">
        <f t="shared" si="3"/>
        <v>a03</v>
      </c>
      <c r="AA18" s="14">
        <f t="shared" si="4"/>
        <v>0</v>
      </c>
      <c r="AB18" s="14">
        <f t="shared" si="5"/>
        <v>0</v>
      </c>
      <c r="AC18" s="11">
        <v>10</v>
      </c>
    </row>
    <row r="19" spans="1:29" s="15" customFormat="1" ht="15" customHeight="1" x14ac:dyDescent="0.2">
      <c r="A19" s="11">
        <v>18</v>
      </c>
      <c r="B19" s="11"/>
      <c r="C19" s="11"/>
      <c r="D19" s="11"/>
      <c r="E19" s="11"/>
      <c r="F19" s="11">
        <v>1</v>
      </c>
      <c r="G19" s="11">
        <v>30816</v>
      </c>
      <c r="H19" s="11">
        <v>1</v>
      </c>
      <c r="I19" s="11" t="s">
        <v>89</v>
      </c>
      <c r="J19" s="11" t="s">
        <v>31</v>
      </c>
      <c r="K19" s="11"/>
      <c r="L19" s="12">
        <v>189</v>
      </c>
      <c r="M19" s="11">
        <v>53</v>
      </c>
      <c r="N19" s="12">
        <v>79.95</v>
      </c>
      <c r="O19" s="11">
        <f t="shared" si="0"/>
        <v>30816</v>
      </c>
      <c r="P19" s="11" t="s">
        <v>90</v>
      </c>
      <c r="Q19" s="11" t="s">
        <v>90</v>
      </c>
      <c r="R19" s="16"/>
      <c r="S19" s="13" t="s">
        <v>91</v>
      </c>
      <c r="T19" s="11" t="str">
        <f t="shared" si="1"/>
        <v>AMID mit Holzschaft - Set,Accueil,Outdoor plus,Armbrust,Recurve,BlackFlash,BlackFlash</v>
      </c>
      <c r="U19" s="11" t="str">
        <f>I19</f>
        <v>AMID mit Holzschaft - Set</v>
      </c>
      <c r="V19" s="11" t="str">
        <f t="shared" si="2"/>
        <v>AMID mit Holzschaft - Set,Accueil,Outdoor plus,Armbrust,Recurve,BlackFlash,BlackFlash</v>
      </c>
      <c r="W19" s="11">
        <v>1</v>
      </c>
      <c r="X19" s="11">
        <v>1</v>
      </c>
      <c r="Y19" s="18" t="str">
        <f t="shared" si="6"/>
        <v>http://usfh.ch/img/Armbrust/30816.jpg</v>
      </c>
      <c r="Z19" s="11">
        <f t="shared" si="3"/>
        <v>30816</v>
      </c>
      <c r="AA19" s="14">
        <f t="shared" si="4"/>
        <v>189</v>
      </c>
      <c r="AB19" s="14">
        <f t="shared" si="5"/>
        <v>79.95</v>
      </c>
      <c r="AC19" s="11">
        <v>10</v>
      </c>
    </row>
    <row r="20" spans="1:29" s="15" customFormat="1" ht="15" customHeight="1" x14ac:dyDescent="0.2">
      <c r="A20" s="11">
        <v>19</v>
      </c>
      <c r="B20" s="11"/>
      <c r="C20" s="11"/>
      <c r="D20" s="11"/>
      <c r="E20" s="11"/>
      <c r="F20" s="11">
        <v>0</v>
      </c>
      <c r="G20" s="11" t="s">
        <v>92</v>
      </c>
      <c r="H20" s="11">
        <v>1</v>
      </c>
      <c r="I20" s="11" t="s">
        <v>93</v>
      </c>
      <c r="J20" s="11" t="s">
        <v>48</v>
      </c>
      <c r="K20" s="11"/>
      <c r="L20" s="12">
        <v>699</v>
      </c>
      <c r="M20" s="11">
        <v>53</v>
      </c>
      <c r="N20" s="12">
        <v>428.95</v>
      </c>
      <c r="O20" s="11" t="str">
        <f t="shared" si="0"/>
        <v>KBS-78629</v>
      </c>
      <c r="P20" s="11" t="s">
        <v>49</v>
      </c>
      <c r="Q20" s="11" t="s">
        <v>50</v>
      </c>
      <c r="R20" s="16"/>
      <c r="S20" s="13" t="s">
        <v>94</v>
      </c>
      <c r="T20" s="11" t="str">
        <f t="shared" si="1"/>
        <v xml:space="preserve"> 'LADY RAPTOR FX' CAMO 330fps 150LBS 4X32MM SCOPE,Accueil,Outdoor plus,Armbrust,Compound,SSA,Barnett</v>
      </c>
      <c r="U20" s="11" t="str">
        <f>I20</f>
        <v xml:space="preserve"> 'LADY RAPTOR FX' CAMO 330fps 150LBS 4X32MM SCOPE</v>
      </c>
      <c r="V20" s="11" t="str">
        <f t="shared" si="2"/>
        <v xml:space="preserve"> 'LADY RAPTOR FX' CAMO 330fps 150LBS 4X32MM SCOPE,Accueil,Outdoor plus,Armbrust,Compound,SSA,Barnett</v>
      </c>
      <c r="W20" s="11">
        <v>1</v>
      </c>
      <c r="X20" s="11">
        <v>1</v>
      </c>
      <c r="Y20" s="18" t="str">
        <f t="shared" si="6"/>
        <v>http://usfh.ch/img/Armbrust/KBS-78629.jpg</v>
      </c>
      <c r="Z20" s="11" t="str">
        <f t="shared" si="3"/>
        <v>KBS-78629</v>
      </c>
      <c r="AA20" s="14">
        <f t="shared" si="4"/>
        <v>0</v>
      </c>
      <c r="AB20" s="14">
        <f t="shared" si="5"/>
        <v>0</v>
      </c>
      <c r="AC20" s="11">
        <v>10</v>
      </c>
    </row>
    <row r="21" spans="1:29" s="15" customFormat="1" ht="15" customHeight="1" x14ac:dyDescent="0.2">
      <c r="A21" s="11">
        <v>20</v>
      </c>
      <c r="B21" s="11"/>
      <c r="C21" s="11"/>
      <c r="D21" s="11"/>
      <c r="E21" s="11"/>
      <c r="F21" s="11">
        <v>1</v>
      </c>
      <c r="G21" s="11" t="s">
        <v>95</v>
      </c>
      <c r="H21" s="11">
        <v>1</v>
      </c>
      <c r="I21" s="19" t="s">
        <v>96</v>
      </c>
      <c r="J21" s="11" t="s">
        <v>48</v>
      </c>
      <c r="K21" s="11"/>
      <c r="L21" s="12">
        <v>559</v>
      </c>
      <c r="M21" s="11">
        <v>53</v>
      </c>
      <c r="N21" s="12">
        <v>223</v>
      </c>
      <c r="O21" s="11" t="str">
        <f t="shared" si="0"/>
        <v>KAS-CR-062B</v>
      </c>
      <c r="P21" s="11" t="s">
        <v>97</v>
      </c>
      <c r="Q21" s="11" t="s">
        <v>97</v>
      </c>
      <c r="R21" s="16"/>
      <c r="S21" s="13" t="s">
        <v>98</v>
      </c>
      <c r="T21" s="11" t="str">
        <f t="shared" si="1"/>
        <v>GUILLOTINE-X' BLACK 400fps 185LBS SCOPE &amp; ACCES.,Accueil,Outdoor plus,Armbrust,Compound,EK Archery,EK Archery</v>
      </c>
      <c r="U21" s="11" t="str">
        <f>I21</f>
        <v>GUILLOTINE-X' BLACK 400fps 185LBS SCOPE &amp; ACCES.</v>
      </c>
      <c r="V21" s="11" t="str">
        <f t="shared" si="2"/>
        <v>GUILLOTINE-X' BLACK 400fps 185LBS SCOPE &amp; ACCES.,Accueil,Outdoor plus,Armbrust,Compound,EK Archery,EK Archery</v>
      </c>
      <c r="W21" s="11">
        <v>1</v>
      </c>
      <c r="X21" s="11">
        <v>1</v>
      </c>
      <c r="Y21" s="18" t="str">
        <f t="shared" si="6"/>
        <v>http://usfh.ch/img/Armbrust/KAS-CR-062B.jpg</v>
      </c>
      <c r="Z21" s="11" t="str">
        <f t="shared" si="3"/>
        <v>KAS-CR-062B</v>
      </c>
      <c r="AA21" s="14">
        <f t="shared" si="4"/>
        <v>559</v>
      </c>
      <c r="AB21" s="14">
        <f t="shared" si="5"/>
        <v>223</v>
      </c>
      <c r="AC21" s="11">
        <v>10</v>
      </c>
    </row>
    <row r="22" spans="1:29" s="15" customFormat="1" ht="15" customHeight="1" x14ac:dyDescent="0.2">
      <c r="A22" s="11">
        <v>21</v>
      </c>
      <c r="B22" s="20"/>
      <c r="C22" s="20"/>
      <c r="D22" s="20"/>
      <c r="E22" s="20"/>
      <c r="F22" s="20">
        <v>1</v>
      </c>
      <c r="G22" s="20" t="s">
        <v>99</v>
      </c>
      <c r="H22" s="11">
        <v>1</v>
      </c>
      <c r="I22" s="20" t="s">
        <v>100</v>
      </c>
      <c r="J22" s="20" t="s">
        <v>48</v>
      </c>
      <c r="K22" s="20"/>
      <c r="L22" s="21">
        <v>599</v>
      </c>
      <c r="M22" s="20">
        <v>53</v>
      </c>
      <c r="N22" s="21">
        <v>291.14999999999998</v>
      </c>
      <c r="O22" s="20" t="str">
        <f t="shared" si="0"/>
        <v>KAS-CR-062M</v>
      </c>
      <c r="P22" s="20" t="s">
        <v>49</v>
      </c>
      <c r="Q22" s="20" t="s">
        <v>88</v>
      </c>
      <c r="R22" s="22"/>
      <c r="S22" s="23" t="s">
        <v>101</v>
      </c>
      <c r="T22" s="20" t="str">
        <f t="shared" si="1"/>
        <v>GUILLOTINE-X' CAMO 400fps 185LBS SCOPE &amp; ACCES.,Accueil,Outdoor plus,Armbrust,Compound,SSA,PoeLang</v>
      </c>
      <c r="U22" s="20" t="str">
        <f>I22</f>
        <v>GUILLOTINE-X' CAMO 400fps 185LBS SCOPE &amp; ACCES.</v>
      </c>
      <c r="V22" s="20" t="str">
        <f t="shared" si="2"/>
        <v>GUILLOTINE-X' CAMO 400fps 185LBS SCOPE &amp; ACCES.,Accueil,Outdoor plus,Armbrust,Compound,SSA,PoeLang</v>
      </c>
      <c r="W22" s="20">
        <v>1</v>
      </c>
      <c r="X22" s="20">
        <v>1</v>
      </c>
      <c r="Y22" s="18" t="str">
        <f t="shared" si="6"/>
        <v>http://usfh.ch/img/Armbrust/KAS-CR-062M.jpg</v>
      </c>
      <c r="Z22" s="20" t="str">
        <f t="shared" si="3"/>
        <v>KAS-CR-062M</v>
      </c>
      <c r="AA22" s="24">
        <f t="shared" si="4"/>
        <v>599</v>
      </c>
      <c r="AB22" s="24">
        <f t="shared" si="5"/>
        <v>291.14999999999998</v>
      </c>
      <c r="AC22" s="11">
        <v>10</v>
      </c>
    </row>
    <row r="23" spans="1:29" s="15" customFormat="1" ht="15" customHeight="1" x14ac:dyDescent="0.2">
      <c r="A23" s="11">
        <v>22</v>
      </c>
      <c r="B23" s="11"/>
      <c r="C23" s="11"/>
      <c r="D23" s="11"/>
      <c r="E23" s="11"/>
      <c r="F23" s="11">
        <v>0</v>
      </c>
      <c r="G23" s="11" t="s">
        <v>102</v>
      </c>
      <c r="H23" s="11">
        <v>1</v>
      </c>
      <c r="I23" s="11" t="s">
        <v>103</v>
      </c>
      <c r="J23" s="11" t="s">
        <v>48</v>
      </c>
      <c r="K23" s="11"/>
      <c r="L23" s="11">
        <v>2690</v>
      </c>
      <c r="M23" s="11">
        <v>53</v>
      </c>
      <c r="N23" s="11">
        <v>1891.1</v>
      </c>
      <c r="O23" s="11" t="s">
        <v>102</v>
      </c>
      <c r="P23" s="11" t="s">
        <v>49</v>
      </c>
      <c r="Q23" s="11" t="s">
        <v>104</v>
      </c>
      <c r="R23" s="11"/>
      <c r="S23" s="13" t="s">
        <v>105</v>
      </c>
      <c r="T23" s="11" t="s">
        <v>106</v>
      </c>
      <c r="U23" s="11" t="s">
        <v>103</v>
      </c>
      <c r="V23" s="11" t="s">
        <v>106</v>
      </c>
      <c r="W23" s="11">
        <v>1</v>
      </c>
      <c r="X23" s="11">
        <v>1</v>
      </c>
      <c r="Y23" s="18" t="str">
        <f t="shared" si="6"/>
        <v>http://usfh.ch/img/Armbrust/KBS-RC-R115.jpg</v>
      </c>
      <c r="Z23" s="11" t="s">
        <v>102</v>
      </c>
      <c r="AA23" s="25">
        <v>2690</v>
      </c>
      <c r="AB23" s="25">
        <v>1891.1</v>
      </c>
      <c r="AC23" s="11">
        <v>10</v>
      </c>
    </row>
    <row r="24" spans="1:29" s="15" customFormat="1" ht="15" customHeight="1" x14ac:dyDescent="0.2">
      <c r="A24" s="11">
        <v>23</v>
      </c>
      <c r="B24" s="11"/>
      <c r="C24" s="11"/>
      <c r="D24" s="11"/>
      <c r="E24" s="11"/>
      <c r="F24" s="11">
        <v>0</v>
      </c>
      <c r="G24" s="11" t="s">
        <v>107</v>
      </c>
      <c r="H24" s="11">
        <v>1</v>
      </c>
      <c r="I24" s="11" t="s">
        <v>108</v>
      </c>
      <c r="J24" s="11" t="s">
        <v>48</v>
      </c>
      <c r="K24" s="11"/>
      <c r="L24" s="12">
        <v>599</v>
      </c>
      <c r="M24" s="11">
        <v>53</v>
      </c>
      <c r="N24" s="12">
        <v>287.45</v>
      </c>
      <c r="O24" s="11" t="str">
        <f t="shared" ref="O24:O53" si="7">G24</f>
        <v>KAS-M-ZF3XL-1</v>
      </c>
      <c r="P24" s="11" t="s">
        <v>49</v>
      </c>
      <c r="Q24" s="11" t="s">
        <v>109</v>
      </c>
      <c r="R24" s="16"/>
      <c r="S24" s="13" t="s">
        <v>110</v>
      </c>
      <c r="T24" s="11" t="str">
        <f t="shared" ref="T24:T53" si="8">$I24 &amp; "," &amp; $J24 &amp;"," &amp; $P24 &amp;","&amp; $Q24</f>
        <v>Armbrustset Maximal MARKSMAN BLACK '400fps' 185 LBS,Accueil,Outdoor plus,Armbrust,Compound,SSA,Maximal</v>
      </c>
      <c r="U24" s="11" t="s">
        <v>30</v>
      </c>
      <c r="V24" s="11" t="str">
        <f t="shared" ref="V24:V53" si="9">T24</f>
        <v>Armbrustset Maximal MARKSMAN BLACK '400fps' 185 LBS,Accueil,Outdoor plus,Armbrust,Compound,SSA,Maximal</v>
      </c>
      <c r="W24" s="11">
        <v>1</v>
      </c>
      <c r="X24" s="11">
        <v>1</v>
      </c>
      <c r="Y24" s="18" t="str">
        <f t="shared" si="6"/>
        <v>http://usfh.ch/img/Armbrust/KAS-M-ZF3XL-1.jpg</v>
      </c>
      <c r="Z24" s="11" t="str">
        <f t="shared" ref="Z24:Z53" si="10">G24</f>
        <v>KAS-M-ZF3XL-1</v>
      </c>
      <c r="AA24" s="14">
        <f t="shared" ref="AA24:AA53" si="11">F24*L24</f>
        <v>0</v>
      </c>
      <c r="AB24" s="14">
        <f t="shared" ref="AB24:AB53" si="12">F24*N24</f>
        <v>0</v>
      </c>
      <c r="AC24" s="11">
        <v>10</v>
      </c>
    </row>
    <row r="25" spans="1:29" s="15" customFormat="1" ht="15" customHeight="1" x14ac:dyDescent="0.2">
      <c r="A25" s="11">
        <v>24</v>
      </c>
      <c r="B25" s="11"/>
      <c r="C25" s="11"/>
      <c r="D25" s="11"/>
      <c r="E25" s="11"/>
      <c r="F25" s="11">
        <v>0</v>
      </c>
      <c r="G25" s="11" t="s">
        <v>111</v>
      </c>
      <c r="H25" s="11">
        <v>1</v>
      </c>
      <c r="I25" s="11" t="s">
        <v>112</v>
      </c>
      <c r="J25" s="11" t="s">
        <v>48</v>
      </c>
      <c r="K25" s="11"/>
      <c r="L25" s="12">
        <v>1099</v>
      </c>
      <c r="M25" s="11">
        <v>53</v>
      </c>
      <c r="N25" s="12">
        <v>609</v>
      </c>
      <c r="O25" s="11" t="str">
        <f t="shared" si="7"/>
        <v>KAS-78122</v>
      </c>
      <c r="P25" s="11" t="s">
        <v>49</v>
      </c>
      <c r="Q25" s="11" t="s">
        <v>50</v>
      </c>
      <c r="R25" s="16"/>
      <c r="S25" s="13" t="s">
        <v>113</v>
      </c>
      <c r="T25" s="11" t="str">
        <f t="shared" si="8"/>
        <v>Barnett Armbrust Vicious - Armbrustpackage,Accueil,Outdoor plus,Armbrust,Compound,SSA,Barnett</v>
      </c>
      <c r="U25" s="11" t="s">
        <v>30</v>
      </c>
      <c r="V25" s="11" t="str">
        <f t="shared" si="9"/>
        <v>Barnett Armbrust Vicious - Armbrustpackage,Accueil,Outdoor plus,Armbrust,Compound,SSA,Barnett</v>
      </c>
      <c r="W25" s="11">
        <v>1</v>
      </c>
      <c r="X25" s="11">
        <v>1</v>
      </c>
      <c r="Y25" s="18" t="str">
        <f t="shared" si="6"/>
        <v>http://usfh.ch/img/Armbrust/KAS-78122.jpg</v>
      </c>
      <c r="Z25" s="11" t="str">
        <f t="shared" si="10"/>
        <v>KAS-78122</v>
      </c>
      <c r="AA25" s="14">
        <f t="shared" si="11"/>
        <v>0</v>
      </c>
      <c r="AB25" s="14">
        <f t="shared" si="12"/>
        <v>0</v>
      </c>
      <c r="AC25" s="11">
        <v>10</v>
      </c>
    </row>
    <row r="26" spans="1:29" s="15" customFormat="1" ht="15" customHeight="1" x14ac:dyDescent="0.2">
      <c r="A26" s="11">
        <v>25</v>
      </c>
      <c r="B26" s="11"/>
      <c r="C26" s="11"/>
      <c r="D26" s="11"/>
      <c r="E26" s="11"/>
      <c r="F26" s="11">
        <v>0</v>
      </c>
      <c r="G26" s="11">
        <v>12803</v>
      </c>
      <c r="H26" s="11">
        <v>1</v>
      </c>
      <c r="I26" s="11" t="s">
        <v>114</v>
      </c>
      <c r="J26" s="11" t="s">
        <v>48</v>
      </c>
      <c r="K26" s="11"/>
      <c r="L26" s="12">
        <v>1490</v>
      </c>
      <c r="M26" s="11">
        <v>53</v>
      </c>
      <c r="N26" s="12">
        <v>1017</v>
      </c>
      <c r="O26" s="11">
        <f t="shared" si="7"/>
        <v>12803</v>
      </c>
      <c r="P26" s="11" t="s">
        <v>90</v>
      </c>
      <c r="Q26" s="11" t="s">
        <v>50</v>
      </c>
      <c r="R26" s="16"/>
      <c r="S26" s="13" t="s">
        <v>115</v>
      </c>
      <c r="T26" s="11" t="str">
        <f t="shared" si="8"/>
        <v>BARNETT BC ReVengeance 400fps,Accueil,Outdoor plus,Armbrust,Compound,BlackFlash,Barnett</v>
      </c>
      <c r="U26" s="11" t="s">
        <v>30</v>
      </c>
      <c r="V26" s="11" t="str">
        <f t="shared" si="9"/>
        <v>BARNETT BC ReVengeance 400fps,Accueil,Outdoor plus,Armbrust,Compound,BlackFlash,Barnett</v>
      </c>
      <c r="W26" s="11">
        <v>1</v>
      </c>
      <c r="X26" s="11">
        <v>1</v>
      </c>
      <c r="Y26" s="18" t="str">
        <f t="shared" si="6"/>
        <v>http://usfh.ch/img/Armbrust/12803.jpg</v>
      </c>
      <c r="Z26" s="11">
        <f t="shared" si="10"/>
        <v>12803</v>
      </c>
      <c r="AA26" s="14">
        <f t="shared" si="11"/>
        <v>0</v>
      </c>
      <c r="AB26" s="14">
        <f t="shared" si="12"/>
        <v>0</v>
      </c>
      <c r="AC26" s="11">
        <v>10</v>
      </c>
    </row>
    <row r="27" spans="1:29" s="15" customFormat="1" ht="15" customHeight="1" x14ac:dyDescent="0.2">
      <c r="A27" s="11">
        <v>26</v>
      </c>
      <c r="B27" s="11"/>
      <c r="C27" s="11"/>
      <c r="D27" s="11"/>
      <c r="E27" s="11"/>
      <c r="F27" s="11">
        <v>5</v>
      </c>
      <c r="G27" s="11">
        <v>30937</v>
      </c>
      <c r="H27" s="11">
        <v>1</v>
      </c>
      <c r="I27" s="11" t="s">
        <v>116</v>
      </c>
      <c r="J27" s="11" t="s">
        <v>31</v>
      </c>
      <c r="K27" s="11"/>
      <c r="L27" s="12">
        <v>89</v>
      </c>
      <c r="M27" s="11">
        <v>53</v>
      </c>
      <c r="N27" s="12">
        <v>32.1</v>
      </c>
      <c r="O27" s="11">
        <f t="shared" si="7"/>
        <v>30937</v>
      </c>
      <c r="P27" s="11" t="s">
        <v>26</v>
      </c>
      <c r="Q27" s="11" t="s">
        <v>26</v>
      </c>
      <c r="R27" s="16"/>
      <c r="S27" s="13" t="s">
        <v>117</v>
      </c>
      <c r="T27" s="11" t="str">
        <f t="shared" si="8"/>
        <v>Armbrustpistole Alligator grün,Accueil,Outdoor plus,Armbrust,Recurve,Haller,Haller</v>
      </c>
      <c r="U27" s="11" t="s">
        <v>30</v>
      </c>
      <c r="V27" s="11" t="str">
        <f t="shared" si="9"/>
        <v>Armbrustpistole Alligator grün,Accueil,Outdoor plus,Armbrust,Recurve,Haller,Haller</v>
      </c>
      <c r="W27" s="11">
        <v>1</v>
      </c>
      <c r="X27" s="11">
        <v>1</v>
      </c>
      <c r="Y27" s="18" t="str">
        <f t="shared" si="6"/>
        <v>http://usfh.ch/img/Armbrust/30937.jpg</v>
      </c>
      <c r="Z27" s="11">
        <f t="shared" si="10"/>
        <v>30937</v>
      </c>
      <c r="AA27" s="14">
        <f t="shared" si="11"/>
        <v>445</v>
      </c>
      <c r="AB27" s="14">
        <f t="shared" si="12"/>
        <v>160.5</v>
      </c>
      <c r="AC27" s="11">
        <v>2</v>
      </c>
    </row>
    <row r="28" spans="1:29" s="15" customFormat="1" ht="15" customHeight="1" x14ac:dyDescent="0.2">
      <c r="A28" s="11">
        <v>27</v>
      </c>
      <c r="B28" s="11"/>
      <c r="C28" s="11"/>
      <c r="D28" s="11"/>
      <c r="E28" s="11"/>
      <c r="F28" s="11">
        <v>5</v>
      </c>
      <c r="G28" s="11">
        <v>30938</v>
      </c>
      <c r="H28" s="11">
        <v>1</v>
      </c>
      <c r="I28" s="11" t="s">
        <v>118</v>
      </c>
      <c r="J28" s="11" t="s">
        <v>31</v>
      </c>
      <c r="K28" s="11"/>
      <c r="L28" s="12">
        <v>89</v>
      </c>
      <c r="M28" s="11">
        <v>53</v>
      </c>
      <c r="N28" s="12">
        <v>32.1</v>
      </c>
      <c r="O28" s="11">
        <f t="shared" si="7"/>
        <v>30938</v>
      </c>
      <c r="P28" s="11" t="s">
        <v>26</v>
      </c>
      <c r="Q28" s="11" t="s">
        <v>26</v>
      </c>
      <c r="R28" s="16"/>
      <c r="S28" s="13" t="s">
        <v>117</v>
      </c>
      <c r="T28" s="11" t="str">
        <f t="shared" si="8"/>
        <v>Armbrustpistole Alligator schwarz,Accueil,Outdoor plus,Armbrust,Recurve,Haller,Haller</v>
      </c>
      <c r="U28" s="11" t="s">
        <v>30</v>
      </c>
      <c r="V28" s="11" t="str">
        <f t="shared" si="9"/>
        <v>Armbrustpistole Alligator schwarz,Accueil,Outdoor plus,Armbrust,Recurve,Haller,Haller</v>
      </c>
      <c r="W28" s="11">
        <v>1</v>
      </c>
      <c r="X28" s="11">
        <v>1</v>
      </c>
      <c r="Y28" s="18" t="str">
        <f t="shared" si="6"/>
        <v>http://usfh.ch/img/Armbrust/30938.jpg</v>
      </c>
      <c r="Z28" s="11">
        <f t="shared" si="10"/>
        <v>30938</v>
      </c>
      <c r="AA28" s="14">
        <f t="shared" si="11"/>
        <v>445</v>
      </c>
      <c r="AB28" s="14">
        <f t="shared" si="12"/>
        <v>160.5</v>
      </c>
      <c r="AC28" s="11">
        <v>2</v>
      </c>
    </row>
    <row r="29" spans="1:29" s="15" customFormat="1" ht="15" customHeight="1" x14ac:dyDescent="0.2">
      <c r="A29" s="11">
        <v>28</v>
      </c>
      <c r="B29" s="11"/>
      <c r="C29" s="11"/>
      <c r="D29" s="11"/>
      <c r="E29" s="11"/>
      <c r="F29" s="11">
        <v>0</v>
      </c>
      <c r="G29" s="11" t="s">
        <v>119</v>
      </c>
      <c r="H29" s="11">
        <v>1</v>
      </c>
      <c r="I29" s="11" t="s">
        <v>120</v>
      </c>
      <c r="J29" s="11" t="s">
        <v>31</v>
      </c>
      <c r="K29" s="11"/>
      <c r="L29" s="12">
        <v>429</v>
      </c>
      <c r="M29" s="11">
        <v>53</v>
      </c>
      <c r="N29" s="12">
        <v>219.84</v>
      </c>
      <c r="O29" s="11" t="str">
        <f t="shared" si="7"/>
        <v>CST-CS13</v>
      </c>
      <c r="P29" s="11" t="s">
        <v>121</v>
      </c>
      <c r="Q29" s="11" t="s">
        <v>121</v>
      </c>
      <c r="R29" s="16"/>
      <c r="S29" s="13" t="s">
        <v>122</v>
      </c>
      <c r="T29" s="11" t="str">
        <f t="shared" si="8"/>
        <v>Cheap Shot 130 - Armbrust,Accueil,Outdoor plus,Armbrust,Recurve,coldSteel,coldSteel</v>
      </c>
      <c r="U29" s="11" t="s">
        <v>30</v>
      </c>
      <c r="V29" s="11" t="str">
        <f t="shared" si="9"/>
        <v>Cheap Shot 130 - Armbrust,Accueil,Outdoor plus,Armbrust,Recurve,coldSteel,coldSteel</v>
      </c>
      <c r="W29" s="11">
        <v>1</v>
      </c>
      <c r="X29" s="11">
        <v>1</v>
      </c>
      <c r="Y29" s="18" t="str">
        <f t="shared" si="6"/>
        <v>http://usfh.ch/img/Armbrust/CST-CS13.jpg</v>
      </c>
      <c r="Z29" s="11" t="str">
        <f t="shared" si="10"/>
        <v>CST-CS13</v>
      </c>
      <c r="AA29" s="14">
        <f t="shared" si="11"/>
        <v>0</v>
      </c>
      <c r="AB29" s="14">
        <f t="shared" si="12"/>
        <v>0</v>
      </c>
      <c r="AC29" s="11">
        <v>10</v>
      </c>
    </row>
    <row r="30" spans="1:29" s="15" customFormat="1" ht="15" customHeight="1" x14ac:dyDescent="0.2">
      <c r="A30" s="11">
        <v>29</v>
      </c>
      <c r="B30" s="11"/>
      <c r="C30" s="11"/>
      <c r="D30" s="11"/>
      <c r="E30" s="11"/>
      <c r="F30" s="11">
        <v>1</v>
      </c>
      <c r="G30" s="11" t="s">
        <v>123</v>
      </c>
      <c r="H30" s="11">
        <v>1</v>
      </c>
      <c r="I30" s="11" t="s">
        <v>124</v>
      </c>
      <c r="J30" s="11" t="s">
        <v>31</v>
      </c>
      <c r="K30" s="11"/>
      <c r="L30" s="12">
        <v>379</v>
      </c>
      <c r="M30" s="11">
        <v>53</v>
      </c>
      <c r="N30" s="12">
        <v>144</v>
      </c>
      <c r="O30" s="11" t="str">
        <f t="shared" si="7"/>
        <v>CR-090BA-130</v>
      </c>
      <c r="P30" s="11" t="s">
        <v>35</v>
      </c>
      <c r="Q30" s="11" t="s">
        <v>35</v>
      </c>
      <c r="R30" s="16"/>
      <c r="S30" s="13" t="s">
        <v>125</v>
      </c>
      <c r="T30" s="11" t="str">
        <f t="shared" si="8"/>
        <v>COBRA SYSTEM RX,Accueil,Outdoor plus,Armbrust,Recurve,Ek Archery,Ek Archery</v>
      </c>
      <c r="U30" s="11" t="s">
        <v>30</v>
      </c>
      <c r="V30" s="11" t="str">
        <f t="shared" si="9"/>
        <v>COBRA SYSTEM RX,Accueil,Outdoor plus,Armbrust,Recurve,Ek Archery,Ek Archery</v>
      </c>
      <c r="W30" s="11">
        <v>1</v>
      </c>
      <c r="X30" s="11">
        <v>1</v>
      </c>
      <c r="Y30" s="18" t="str">
        <f t="shared" si="6"/>
        <v>http://usfh.ch/img/Armbrust/CR-090BA-130.jpg</v>
      </c>
      <c r="Z30" s="11" t="str">
        <f t="shared" si="10"/>
        <v>CR-090BA-130</v>
      </c>
      <c r="AA30" s="14">
        <f t="shared" si="11"/>
        <v>379</v>
      </c>
      <c r="AB30" s="14">
        <f t="shared" si="12"/>
        <v>144</v>
      </c>
      <c r="AC30" s="11">
        <v>10</v>
      </c>
    </row>
    <row r="31" spans="1:29" s="15" customFormat="1" ht="15" customHeight="1" x14ac:dyDescent="0.2">
      <c r="A31" s="11">
        <v>30</v>
      </c>
      <c r="B31" s="11"/>
      <c r="C31" s="11"/>
      <c r="D31" s="11"/>
      <c r="E31" s="11"/>
      <c r="F31" s="11">
        <v>0</v>
      </c>
      <c r="G31" s="11" t="s">
        <v>126</v>
      </c>
      <c r="H31" s="11">
        <v>1</v>
      </c>
      <c r="I31" s="11" t="s">
        <v>127</v>
      </c>
      <c r="J31" s="11" t="s">
        <v>31</v>
      </c>
      <c r="K31" s="11"/>
      <c r="L31" s="12">
        <v>349</v>
      </c>
      <c r="M31" s="11">
        <v>53</v>
      </c>
      <c r="N31" s="12">
        <v>119</v>
      </c>
      <c r="O31" s="11" t="str">
        <f t="shared" si="7"/>
        <v>CR-090BA</v>
      </c>
      <c r="P31" s="11" t="s">
        <v>35</v>
      </c>
      <c r="Q31" s="11" t="s">
        <v>35</v>
      </c>
      <c r="R31" s="16"/>
      <c r="S31" s="13" t="s">
        <v>128</v>
      </c>
      <c r="T31" s="11" t="str">
        <f t="shared" si="8"/>
        <v>COBRA SYSTEM R9,Accueil,Outdoor plus,Armbrust,Recurve,Ek Archery,Ek Archery</v>
      </c>
      <c r="U31" s="11" t="s">
        <v>30</v>
      </c>
      <c r="V31" s="11" t="str">
        <f t="shared" si="9"/>
        <v>COBRA SYSTEM R9,Accueil,Outdoor plus,Armbrust,Recurve,Ek Archery,Ek Archery</v>
      </c>
      <c r="W31" s="11">
        <v>1</v>
      </c>
      <c r="X31" s="11">
        <v>1</v>
      </c>
      <c r="Y31" s="18" t="str">
        <f t="shared" si="6"/>
        <v>http://usfh.ch/img/Armbrust/CR-090BA.jpg</v>
      </c>
      <c r="Z31" s="11" t="str">
        <f t="shared" si="10"/>
        <v>CR-090BA</v>
      </c>
      <c r="AA31" s="14">
        <f t="shared" si="11"/>
        <v>0</v>
      </c>
      <c r="AB31" s="14">
        <f t="shared" si="12"/>
        <v>0</v>
      </c>
      <c r="AC31" s="11">
        <v>10</v>
      </c>
    </row>
    <row r="32" spans="1:29" s="15" customFormat="1" ht="15" customHeight="1" x14ac:dyDescent="0.2">
      <c r="A32" s="11">
        <v>31</v>
      </c>
      <c r="B32" s="11"/>
      <c r="C32" s="11"/>
      <c r="D32" s="11"/>
      <c r="E32" s="11"/>
      <c r="F32" s="11">
        <v>1</v>
      </c>
      <c r="G32" s="11" t="s">
        <v>129</v>
      </c>
      <c r="H32" s="11">
        <v>1</v>
      </c>
      <c r="I32" s="11" t="s">
        <v>130</v>
      </c>
      <c r="J32" s="11" t="s">
        <v>48</v>
      </c>
      <c r="K32" s="11"/>
      <c r="L32" s="12">
        <v>625</v>
      </c>
      <c r="M32" s="11">
        <v>53</v>
      </c>
      <c r="N32" s="12">
        <v>245.3</v>
      </c>
      <c r="O32" s="11" t="str">
        <f t="shared" si="7"/>
        <v>CR-068BP</v>
      </c>
      <c r="P32" s="11" t="s">
        <v>35</v>
      </c>
      <c r="Q32" s="11" t="s">
        <v>35</v>
      </c>
      <c r="R32" s="16"/>
      <c r="S32" s="13" t="s">
        <v>131</v>
      </c>
      <c r="T32" s="11" t="str">
        <f t="shared" si="8"/>
        <v>Accelerator 410+ schwarz,Accueil,Outdoor plus,Armbrust,Compound,Ek Archery,Ek Archery</v>
      </c>
      <c r="U32" s="11" t="s">
        <v>30</v>
      </c>
      <c r="V32" s="11" t="str">
        <f t="shared" si="9"/>
        <v>Accelerator 410+ schwarz,Accueil,Outdoor plus,Armbrust,Compound,Ek Archery,Ek Archery</v>
      </c>
      <c r="W32" s="11">
        <v>1</v>
      </c>
      <c r="X32" s="11">
        <v>1</v>
      </c>
      <c r="Y32" s="18" t="str">
        <f t="shared" si="6"/>
        <v>http://usfh.ch/img/Armbrust/CR-068BP.jpg</v>
      </c>
      <c r="Z32" s="11" t="str">
        <f t="shared" si="10"/>
        <v>CR-068BP</v>
      </c>
      <c r="AA32" s="14">
        <f t="shared" si="11"/>
        <v>625</v>
      </c>
      <c r="AB32" s="14">
        <f t="shared" si="12"/>
        <v>245.3</v>
      </c>
      <c r="AC32" s="11">
        <v>10</v>
      </c>
    </row>
    <row r="33" spans="1:29" s="15" customFormat="1" ht="15" customHeight="1" x14ac:dyDescent="0.2">
      <c r="A33" s="11">
        <v>32</v>
      </c>
      <c r="B33" s="11"/>
      <c r="C33" s="11"/>
      <c r="D33" s="11"/>
      <c r="E33" s="11"/>
      <c r="F33" s="11">
        <v>1</v>
      </c>
      <c r="G33" s="11" t="s">
        <v>132</v>
      </c>
      <c r="H33" s="11">
        <v>1</v>
      </c>
      <c r="I33" s="19" t="s">
        <v>133</v>
      </c>
      <c r="J33" s="11" t="s">
        <v>48</v>
      </c>
      <c r="K33" s="11"/>
      <c r="L33" s="12">
        <v>499</v>
      </c>
      <c r="M33" s="11">
        <v>53</v>
      </c>
      <c r="N33" s="12">
        <v>199</v>
      </c>
      <c r="O33" s="11" t="str">
        <f t="shared" si="7"/>
        <v>CR-063BP</v>
      </c>
      <c r="P33" s="11" t="s">
        <v>97</v>
      </c>
      <c r="Q33" s="11" t="s">
        <v>97</v>
      </c>
      <c r="R33" s="16"/>
      <c r="S33" s="13" t="s">
        <v>134</v>
      </c>
      <c r="T33" s="11" t="str">
        <f t="shared" si="8"/>
        <v>GUILLOTINE-M' BLACK 370fps 185LBS SCOPE &amp; ACCES.,Accueil,Outdoor plus,Armbrust,Compound,EK Archery,EK Archery</v>
      </c>
      <c r="U33" s="11" t="str">
        <f t="shared" ref="U33:U60" si="13">I33</f>
        <v>GUILLOTINE-M' BLACK 370fps 185LBS SCOPE &amp; ACCES.</v>
      </c>
      <c r="V33" s="11" t="str">
        <f t="shared" si="9"/>
        <v>GUILLOTINE-M' BLACK 370fps 185LBS SCOPE &amp; ACCES.,Accueil,Outdoor plus,Armbrust,Compound,EK Archery,EK Archery</v>
      </c>
      <c r="W33" s="11">
        <v>1</v>
      </c>
      <c r="X33" s="11">
        <v>1</v>
      </c>
      <c r="Y33" s="18" t="str">
        <f t="shared" si="6"/>
        <v>http://usfh.ch/img/Armbrust/CR-063BP.jpg</v>
      </c>
      <c r="Z33" s="11" t="str">
        <f t="shared" si="10"/>
        <v>CR-063BP</v>
      </c>
      <c r="AA33" s="14">
        <f t="shared" si="11"/>
        <v>499</v>
      </c>
      <c r="AB33" s="14">
        <f t="shared" si="12"/>
        <v>199</v>
      </c>
      <c r="AC33" s="11">
        <v>10</v>
      </c>
    </row>
    <row r="34" spans="1:29" s="15" customFormat="1" ht="15" customHeight="1" x14ac:dyDescent="0.2">
      <c r="A34" s="11">
        <v>33</v>
      </c>
      <c r="B34" s="11"/>
      <c r="C34" s="11"/>
      <c r="D34" s="11"/>
      <c r="E34" s="11"/>
      <c r="F34" s="11">
        <v>0</v>
      </c>
      <c r="G34" s="26" t="s">
        <v>136</v>
      </c>
      <c r="H34" s="11">
        <v>1</v>
      </c>
      <c r="I34" s="19" t="s">
        <v>137</v>
      </c>
      <c r="J34" s="11" t="s">
        <v>31</v>
      </c>
      <c r="K34" s="11"/>
      <c r="L34" s="12">
        <v>459</v>
      </c>
      <c r="M34" s="11">
        <v>53</v>
      </c>
      <c r="N34" s="12">
        <v>175.62</v>
      </c>
      <c r="O34" s="11" t="str">
        <f t="shared" si="7"/>
        <v>CR-097AD130</v>
      </c>
      <c r="P34" s="11" t="s">
        <v>97</v>
      </c>
      <c r="Q34" s="11" t="s">
        <v>97</v>
      </c>
      <c r="R34" s="16"/>
      <c r="S34" s="13" t="s">
        <v>138</v>
      </c>
      <c r="T34" s="11" t="str">
        <f t="shared" si="8"/>
        <v>COBRA SYSTEM ADDER,Accueil,Outdoor plus,Armbrust,Recurve,EK Archery,EK Archery</v>
      </c>
      <c r="U34" s="11" t="str">
        <f t="shared" si="13"/>
        <v>COBRA SYSTEM ADDER</v>
      </c>
      <c r="V34" s="11" t="str">
        <f t="shared" si="9"/>
        <v>COBRA SYSTEM ADDER,Accueil,Outdoor plus,Armbrust,Recurve,EK Archery,EK Archery</v>
      </c>
      <c r="W34" s="11">
        <v>1</v>
      </c>
      <c r="X34" s="11">
        <v>1</v>
      </c>
      <c r="Y34" s="18" t="str">
        <f t="shared" si="6"/>
        <v>http://usfh.ch/img/Armbrust/CR-097AD130.jpg</v>
      </c>
      <c r="Z34" s="11" t="str">
        <f t="shared" si="10"/>
        <v>CR-097AD130</v>
      </c>
      <c r="AA34" s="14">
        <f t="shared" si="11"/>
        <v>0</v>
      </c>
      <c r="AB34" s="14">
        <f t="shared" si="12"/>
        <v>0</v>
      </c>
      <c r="AC34" s="11">
        <v>10</v>
      </c>
    </row>
    <row r="35" spans="1:29" s="15" customFormat="1" ht="15" customHeight="1" x14ac:dyDescent="0.2">
      <c r="A35" s="11">
        <v>34</v>
      </c>
      <c r="B35" s="11"/>
      <c r="C35" s="11"/>
      <c r="D35" s="11"/>
      <c r="E35" s="11"/>
      <c r="F35" s="11">
        <v>2</v>
      </c>
      <c r="G35" s="26" t="s">
        <v>139</v>
      </c>
      <c r="H35" s="11">
        <v>1</v>
      </c>
      <c r="I35" s="19" t="s">
        <v>140</v>
      </c>
      <c r="J35" s="11" t="s">
        <v>31</v>
      </c>
      <c r="K35" s="11"/>
      <c r="L35" s="12">
        <v>99</v>
      </c>
      <c r="M35" s="11">
        <v>53</v>
      </c>
      <c r="N35" s="12">
        <v>33.950000000000003</v>
      </c>
      <c r="O35" s="11" t="str">
        <f t="shared" si="7"/>
        <v>30935</v>
      </c>
      <c r="P35" s="11" t="s">
        <v>26</v>
      </c>
      <c r="Q35" s="11" t="s">
        <v>26</v>
      </c>
      <c r="R35" s="16"/>
      <c r="S35" s="13" t="s">
        <v>141</v>
      </c>
      <c r="T35" s="11" t="str">
        <f t="shared" si="8"/>
        <v>Armbrustpistole Alligator I grün,Accueil,Outdoor plus,Armbrust,Recurve,Haller,Haller</v>
      </c>
      <c r="U35" s="11" t="str">
        <f t="shared" si="13"/>
        <v>Armbrustpistole Alligator I grün</v>
      </c>
      <c r="V35" s="11" t="str">
        <f t="shared" si="9"/>
        <v>Armbrustpistole Alligator I grün,Accueil,Outdoor plus,Armbrust,Recurve,Haller,Haller</v>
      </c>
      <c r="W35" s="11">
        <v>1</v>
      </c>
      <c r="X35" s="11">
        <v>1</v>
      </c>
      <c r="Y35" s="18" t="str">
        <f t="shared" si="6"/>
        <v>http://usfh.ch/img/Armbrust/30935.jpg</v>
      </c>
      <c r="Z35" s="11" t="str">
        <f t="shared" si="10"/>
        <v>30935</v>
      </c>
      <c r="AA35" s="14">
        <f t="shared" si="11"/>
        <v>198</v>
      </c>
      <c r="AB35" s="14">
        <f t="shared" si="12"/>
        <v>67.900000000000006</v>
      </c>
      <c r="AC35" s="11">
        <v>2</v>
      </c>
    </row>
    <row r="36" spans="1:29" s="15" customFormat="1" ht="15" customHeight="1" x14ac:dyDescent="0.2">
      <c r="A36" s="11">
        <v>35</v>
      </c>
      <c r="B36" s="11"/>
      <c r="C36" s="11"/>
      <c r="D36" s="11"/>
      <c r="E36" s="11"/>
      <c r="F36" s="11">
        <v>5</v>
      </c>
      <c r="G36" s="26" t="s">
        <v>142</v>
      </c>
      <c r="H36" s="11">
        <v>1</v>
      </c>
      <c r="I36" s="19" t="s">
        <v>143</v>
      </c>
      <c r="J36" s="11" t="s">
        <v>31</v>
      </c>
      <c r="K36" s="11"/>
      <c r="L36" s="12">
        <v>99</v>
      </c>
      <c r="M36" s="11">
        <v>53</v>
      </c>
      <c r="N36" s="12">
        <v>33.950000000000003</v>
      </c>
      <c r="O36" s="11" t="str">
        <f t="shared" si="7"/>
        <v>30936</v>
      </c>
      <c r="P36" s="11" t="s">
        <v>26</v>
      </c>
      <c r="Q36" s="11" t="s">
        <v>26</v>
      </c>
      <c r="R36" s="16"/>
      <c r="S36" s="13" t="s">
        <v>141</v>
      </c>
      <c r="T36" s="11" t="str">
        <f t="shared" si="8"/>
        <v>Armbrustpistole Alligator I schwarz,Accueil,Outdoor plus,Armbrust,Recurve,Haller,Haller</v>
      </c>
      <c r="U36" s="11" t="str">
        <f t="shared" si="13"/>
        <v>Armbrustpistole Alligator I schwarz</v>
      </c>
      <c r="V36" s="11" t="str">
        <f t="shared" si="9"/>
        <v>Armbrustpistole Alligator I schwarz,Accueil,Outdoor plus,Armbrust,Recurve,Haller,Haller</v>
      </c>
      <c r="W36" s="11">
        <v>1</v>
      </c>
      <c r="X36" s="11">
        <v>1</v>
      </c>
      <c r="Y36" s="18" t="str">
        <f t="shared" si="6"/>
        <v>http://usfh.ch/img/Armbrust/30936.jpg</v>
      </c>
      <c r="Z36" s="11" t="str">
        <f t="shared" si="10"/>
        <v>30936</v>
      </c>
      <c r="AA36" s="14">
        <f t="shared" si="11"/>
        <v>495</v>
      </c>
      <c r="AB36" s="14">
        <f t="shared" si="12"/>
        <v>169.75</v>
      </c>
      <c r="AC36" s="11">
        <v>2</v>
      </c>
    </row>
    <row r="37" spans="1:29" s="15" customFormat="1" ht="15" customHeight="1" x14ac:dyDescent="0.2">
      <c r="A37" s="11">
        <v>36</v>
      </c>
      <c r="B37" s="11"/>
      <c r="C37" s="11"/>
      <c r="D37" s="11"/>
      <c r="E37" s="11"/>
      <c r="F37" s="11">
        <v>2</v>
      </c>
      <c r="G37" s="26" t="s">
        <v>144</v>
      </c>
      <c r="H37" s="11">
        <v>1</v>
      </c>
      <c r="I37" s="19" t="s">
        <v>145</v>
      </c>
      <c r="J37" s="11" t="s">
        <v>48</v>
      </c>
      <c r="K37" s="11"/>
      <c r="L37" s="12">
        <v>699</v>
      </c>
      <c r="M37" s="11">
        <v>53</v>
      </c>
      <c r="N37" s="12">
        <v>284</v>
      </c>
      <c r="O37" s="11" t="str">
        <f t="shared" si="7"/>
        <v>30323</v>
      </c>
      <c r="P37" s="11" t="s">
        <v>26</v>
      </c>
      <c r="Q37" s="11" t="s">
        <v>26</v>
      </c>
      <c r="R37" s="16">
        <v>4050346303231</v>
      </c>
      <c r="S37" s="13" t="s">
        <v>146</v>
      </c>
      <c r="T37" s="11" t="str">
        <f t="shared" si="8"/>
        <v>Compound Armbrust Gewehr XP-58,Accueil,Outdoor plus,Armbrust,Compound,Haller,Haller</v>
      </c>
      <c r="U37" s="11" t="str">
        <f t="shared" si="13"/>
        <v>Compound Armbrust Gewehr XP-58</v>
      </c>
      <c r="V37" s="11" t="str">
        <f t="shared" si="9"/>
        <v>Compound Armbrust Gewehr XP-58,Accueil,Outdoor plus,Armbrust,Compound,Haller,Haller</v>
      </c>
      <c r="W37" s="11">
        <v>1</v>
      </c>
      <c r="X37" s="11">
        <v>1</v>
      </c>
      <c r="Y37" s="18" t="str">
        <f t="shared" si="6"/>
        <v>http://usfh.ch/img/Armbrust/30323.jpg</v>
      </c>
      <c r="Z37" s="11" t="str">
        <f t="shared" si="10"/>
        <v>30323</v>
      </c>
      <c r="AA37" s="14">
        <f t="shared" si="11"/>
        <v>1398</v>
      </c>
      <c r="AB37" s="14">
        <f t="shared" si="12"/>
        <v>568</v>
      </c>
      <c r="AC37" s="11">
        <v>10</v>
      </c>
    </row>
    <row r="38" spans="1:29" s="15" customFormat="1" ht="15" customHeight="1" x14ac:dyDescent="0.2">
      <c r="A38" s="11">
        <v>37</v>
      </c>
      <c r="B38" s="11"/>
      <c r="C38" s="11"/>
      <c r="D38" s="11"/>
      <c r="E38" s="11"/>
      <c r="F38" s="11">
        <v>0</v>
      </c>
      <c r="G38" s="26" t="s">
        <v>147</v>
      </c>
      <c r="H38" s="11">
        <v>1</v>
      </c>
      <c r="I38" s="19" t="s">
        <v>148</v>
      </c>
      <c r="J38" s="11" t="s">
        <v>48</v>
      </c>
      <c r="K38" s="11"/>
      <c r="L38" s="12">
        <v>499</v>
      </c>
      <c r="M38" s="11">
        <v>53</v>
      </c>
      <c r="N38" s="12">
        <v>232</v>
      </c>
      <c r="O38" s="11" t="str">
        <f t="shared" si="7"/>
        <v>A048248</v>
      </c>
      <c r="P38" s="11" t="s">
        <v>49</v>
      </c>
      <c r="Q38" s="11" t="s">
        <v>149</v>
      </c>
      <c r="R38" s="16"/>
      <c r="S38" s="13" t="s">
        <v>150</v>
      </c>
      <c r="T38" s="11" t="str">
        <f t="shared" si="8"/>
        <v>Wildgame XB370,Accueil,Outdoor plus,Armbrust,Compound,SSA,Wildgame</v>
      </c>
      <c r="U38" s="11" t="str">
        <f t="shared" si="13"/>
        <v>Wildgame XB370</v>
      </c>
      <c r="V38" s="11" t="str">
        <f t="shared" si="9"/>
        <v>Wildgame XB370,Accueil,Outdoor plus,Armbrust,Compound,SSA,Wildgame</v>
      </c>
      <c r="W38" s="11">
        <v>1</v>
      </c>
      <c r="X38" s="11">
        <v>1</v>
      </c>
      <c r="Y38" s="18" t="str">
        <f t="shared" si="6"/>
        <v>http://usfh.ch/img/Armbrust/A048248.jpg</v>
      </c>
      <c r="Z38" s="11" t="str">
        <f t="shared" si="10"/>
        <v>A048248</v>
      </c>
      <c r="AA38" s="14">
        <f t="shared" si="11"/>
        <v>0</v>
      </c>
      <c r="AB38" s="14">
        <f t="shared" si="12"/>
        <v>0</v>
      </c>
      <c r="AC38" s="11">
        <v>10</v>
      </c>
    </row>
    <row r="39" spans="1:29" s="15" customFormat="1" ht="15" customHeight="1" x14ac:dyDescent="0.2">
      <c r="A39" s="11">
        <v>38</v>
      </c>
      <c r="B39" s="11"/>
      <c r="C39" s="11"/>
      <c r="D39" s="11"/>
      <c r="E39" s="11"/>
      <c r="F39" s="11">
        <v>0</v>
      </c>
      <c r="G39" s="26" t="s">
        <v>151</v>
      </c>
      <c r="H39" s="11">
        <v>1</v>
      </c>
      <c r="I39" s="19" t="s">
        <v>152</v>
      </c>
      <c r="J39" s="11" t="s">
        <v>48</v>
      </c>
      <c r="K39" s="11"/>
      <c r="L39" s="12">
        <v>999</v>
      </c>
      <c r="M39" s="11">
        <v>53</v>
      </c>
      <c r="N39" s="12">
        <v>698</v>
      </c>
      <c r="O39" s="11" t="str">
        <f t="shared" si="7"/>
        <v>A047828</v>
      </c>
      <c r="P39" s="11" t="s">
        <v>49</v>
      </c>
      <c r="Q39" s="11" t="s">
        <v>50</v>
      </c>
      <c r="R39" s="16"/>
      <c r="S39" s="13" t="s">
        <v>153</v>
      </c>
      <c r="T39" s="11" t="str">
        <f t="shared" si="8"/>
        <v>BARNETT Raptor Pro STR,Accueil,Outdoor plus,Armbrust,Compound,SSA,Barnett</v>
      </c>
      <c r="U39" s="11" t="str">
        <f t="shared" si="13"/>
        <v>BARNETT Raptor Pro STR</v>
      </c>
      <c r="V39" s="11" t="str">
        <f t="shared" si="9"/>
        <v>BARNETT Raptor Pro STR,Accueil,Outdoor plus,Armbrust,Compound,SSA,Barnett</v>
      </c>
      <c r="W39" s="11">
        <v>1</v>
      </c>
      <c r="X39" s="11">
        <v>1</v>
      </c>
      <c r="Y39" s="18" t="str">
        <f t="shared" si="6"/>
        <v>http://usfh.ch/img/Armbrust/A047828.jpg</v>
      </c>
      <c r="Z39" s="11" t="str">
        <f t="shared" si="10"/>
        <v>A047828</v>
      </c>
      <c r="AA39" s="14">
        <f t="shared" si="11"/>
        <v>0</v>
      </c>
      <c r="AB39" s="14">
        <f t="shared" si="12"/>
        <v>0</v>
      </c>
      <c r="AC39" s="11">
        <v>10</v>
      </c>
    </row>
    <row r="40" spans="1:29" s="15" customFormat="1" ht="15" customHeight="1" x14ac:dyDescent="0.2">
      <c r="A40" s="11">
        <v>39</v>
      </c>
      <c r="B40" s="11"/>
      <c r="C40" s="11"/>
      <c r="D40" s="11"/>
      <c r="E40" s="11"/>
      <c r="F40" s="11">
        <v>0</v>
      </c>
      <c r="G40" s="26" t="s">
        <v>154</v>
      </c>
      <c r="H40" s="11">
        <v>1</v>
      </c>
      <c r="I40" s="19" t="s">
        <v>155</v>
      </c>
      <c r="J40" s="11" t="s">
        <v>48</v>
      </c>
      <c r="K40" s="11"/>
      <c r="L40" s="12">
        <v>599</v>
      </c>
      <c r="M40" s="11">
        <v>53</v>
      </c>
      <c r="N40" s="12">
        <v>252</v>
      </c>
      <c r="O40" s="11" t="str">
        <f t="shared" si="7"/>
        <v>CR-026G1 - Next G1 Camo</v>
      </c>
      <c r="P40" s="11" t="s">
        <v>97</v>
      </c>
      <c r="Q40" s="11" t="s">
        <v>97</v>
      </c>
      <c r="R40" s="16"/>
      <c r="S40" s="13" t="s">
        <v>156</v>
      </c>
      <c r="T40" s="11" t="str">
        <f t="shared" si="8"/>
        <v>Compound Armbrust Titan 200LBS  Camo ,Accueil,Outdoor plus,Armbrust,Compound,EK Archery,EK Archery</v>
      </c>
      <c r="U40" s="11" t="str">
        <f t="shared" si="13"/>
        <v xml:space="preserve">Compound Armbrust Titan 200LBS  Camo </v>
      </c>
      <c r="V40" s="11" t="str">
        <f t="shared" si="9"/>
        <v>Compound Armbrust Titan 200LBS  Camo ,Accueil,Outdoor plus,Armbrust,Compound,EK Archery,EK Archery</v>
      </c>
      <c r="W40" s="11">
        <v>1</v>
      </c>
      <c r="X40" s="11">
        <v>1</v>
      </c>
      <c r="Y40" s="18" t="str">
        <f t="shared" si="6"/>
        <v>http://usfh.ch/img/Armbrust/CR-026G1 - Next G1 Camo.jpg</v>
      </c>
      <c r="Z40" s="11" t="str">
        <f t="shared" si="10"/>
        <v>CR-026G1 - Next G1 Camo</v>
      </c>
      <c r="AA40" s="14">
        <f t="shared" si="11"/>
        <v>0</v>
      </c>
      <c r="AB40" s="14">
        <f t="shared" si="12"/>
        <v>0</v>
      </c>
      <c r="AC40" s="11">
        <v>10</v>
      </c>
    </row>
    <row r="41" spans="1:29" s="15" customFormat="1" ht="15" customHeight="1" x14ac:dyDescent="0.2">
      <c r="A41" s="11">
        <v>40</v>
      </c>
      <c r="B41" s="11"/>
      <c r="C41" s="11"/>
      <c r="D41" s="11"/>
      <c r="E41" s="11"/>
      <c r="F41" s="11">
        <v>0</v>
      </c>
      <c r="G41" s="26" t="s">
        <v>157</v>
      </c>
      <c r="H41" s="11">
        <v>1</v>
      </c>
      <c r="I41" s="19" t="s">
        <v>158</v>
      </c>
      <c r="J41" s="11" t="s">
        <v>48</v>
      </c>
      <c r="K41" s="11"/>
      <c r="L41" s="12">
        <v>599</v>
      </c>
      <c r="M41" s="11">
        <v>53</v>
      </c>
      <c r="N41" s="12">
        <v>230</v>
      </c>
      <c r="O41" s="11" t="str">
        <f t="shared" si="7"/>
        <v>A046882</v>
      </c>
      <c r="P41" s="11" t="s">
        <v>49</v>
      </c>
      <c r="Q41" s="11" t="s">
        <v>159</v>
      </c>
      <c r="R41" s="16"/>
      <c r="S41" s="13" t="s">
        <v>160</v>
      </c>
      <c r="T41" s="11" t="str">
        <f t="shared" si="8"/>
        <v>PSE 'COALITION' 380fps-illuminated scope-Camo,Accueil,Outdoor plus,Armbrust,Compound,SSA,PSE</v>
      </c>
      <c r="U41" s="11" t="str">
        <f t="shared" si="13"/>
        <v>PSE 'COALITION' 380fps-illuminated scope-Camo</v>
      </c>
      <c r="V41" s="11" t="str">
        <f t="shared" si="9"/>
        <v>PSE 'COALITION' 380fps-illuminated scope-Camo,Accueil,Outdoor plus,Armbrust,Compound,SSA,PSE</v>
      </c>
      <c r="W41" s="11">
        <v>1</v>
      </c>
      <c r="X41" s="11">
        <v>1</v>
      </c>
      <c r="Y41" s="18" t="str">
        <f t="shared" si="6"/>
        <v>http://usfh.ch/img/Armbrust/A046882.jpg</v>
      </c>
      <c r="Z41" s="11" t="str">
        <f t="shared" si="10"/>
        <v>A046882</v>
      </c>
      <c r="AA41" s="14">
        <f t="shared" si="11"/>
        <v>0</v>
      </c>
      <c r="AB41" s="14">
        <f t="shared" si="12"/>
        <v>0</v>
      </c>
      <c r="AC41" s="11">
        <v>10</v>
      </c>
    </row>
    <row r="42" spans="1:29" s="15" customFormat="1" ht="15" customHeight="1" x14ac:dyDescent="0.2">
      <c r="A42" s="11">
        <v>41</v>
      </c>
      <c r="B42" s="11"/>
      <c r="C42" s="11"/>
      <c r="D42" s="11"/>
      <c r="E42" s="11"/>
      <c r="F42" s="11">
        <v>0</v>
      </c>
      <c r="G42" s="26" t="s">
        <v>161</v>
      </c>
      <c r="H42" s="11">
        <v>1</v>
      </c>
      <c r="I42" s="19" t="s">
        <v>162</v>
      </c>
      <c r="J42" s="11" t="s">
        <v>48</v>
      </c>
      <c r="K42" s="11"/>
      <c r="L42" s="12">
        <v>1319</v>
      </c>
      <c r="M42" s="11">
        <v>53</v>
      </c>
      <c r="N42" s="12">
        <v>660</v>
      </c>
      <c r="O42" s="11" t="str">
        <f t="shared" si="7"/>
        <v>A041256</v>
      </c>
      <c r="P42" s="11" t="s">
        <v>49</v>
      </c>
      <c r="Q42" s="11" t="s">
        <v>163</v>
      </c>
      <c r="R42" s="16"/>
      <c r="S42" s="13" t="s">
        <v>164</v>
      </c>
      <c r="T42" s="11" t="str">
        <f t="shared" si="8"/>
        <v>ARMBRUST CENTERPOINT CP400 200 LBS 400 FPS + 3X32 ZIELFERNROHR,Accueil,Outdoor plus,Armbrust,Compound,SSA,Centerpoint</v>
      </c>
      <c r="U42" s="11" t="str">
        <f t="shared" si="13"/>
        <v>ARMBRUST CENTERPOINT CP400 200 LBS 400 FPS + 3X32 ZIELFERNROHR</v>
      </c>
      <c r="V42" s="11" t="str">
        <f t="shared" si="9"/>
        <v>ARMBRUST CENTERPOINT CP400 200 LBS 400 FPS + 3X32 ZIELFERNROHR,Accueil,Outdoor plus,Armbrust,Compound,SSA,Centerpoint</v>
      </c>
      <c r="W42" s="11">
        <v>1</v>
      </c>
      <c r="X42" s="11">
        <v>1</v>
      </c>
      <c r="Y42" s="18" t="str">
        <f t="shared" si="6"/>
        <v>http://usfh.ch/img/Armbrust/A041256.jpg</v>
      </c>
      <c r="Z42" s="11" t="str">
        <f t="shared" si="10"/>
        <v>A041256</v>
      </c>
      <c r="AA42" s="14">
        <f t="shared" si="11"/>
        <v>0</v>
      </c>
      <c r="AB42" s="14">
        <f t="shared" si="12"/>
        <v>0</v>
      </c>
      <c r="AC42" s="11">
        <v>10</v>
      </c>
    </row>
    <row r="43" spans="1:29" s="15" customFormat="1" ht="15" customHeight="1" x14ac:dyDescent="0.2">
      <c r="A43" s="11">
        <v>42</v>
      </c>
      <c r="B43" s="11"/>
      <c r="C43" s="11"/>
      <c r="D43" s="11"/>
      <c r="E43" s="11"/>
      <c r="F43" s="11">
        <v>0</v>
      </c>
      <c r="G43" s="26" t="s">
        <v>165</v>
      </c>
      <c r="H43" s="11">
        <v>1</v>
      </c>
      <c r="I43" s="19" t="s">
        <v>166</v>
      </c>
      <c r="J43" s="11" t="s">
        <v>48</v>
      </c>
      <c r="K43" s="11"/>
      <c r="L43" s="12">
        <v>599</v>
      </c>
      <c r="M43" s="11">
        <v>53</v>
      </c>
      <c r="N43" s="12">
        <v>319</v>
      </c>
      <c r="O43" s="11" t="str">
        <f t="shared" si="7"/>
        <v>A046079</v>
      </c>
      <c r="P43" s="11" t="s">
        <v>49</v>
      </c>
      <c r="Q43" s="11" t="s">
        <v>167</v>
      </c>
      <c r="R43" s="16"/>
      <c r="S43" s="13" t="s">
        <v>168</v>
      </c>
      <c r="T43" s="11" t="str">
        <f t="shared" si="8"/>
        <v>ROCKY MOUNTAIN RM-415 ARMBRUST 200 LBS 415 FPS,Accueil,Outdoor plus,Armbrust,Compound,SSA,Rocky Mountain</v>
      </c>
      <c r="U43" s="11" t="str">
        <f t="shared" si="13"/>
        <v>ROCKY MOUNTAIN RM-415 ARMBRUST 200 LBS 415 FPS</v>
      </c>
      <c r="V43" s="11" t="str">
        <f t="shared" si="9"/>
        <v>ROCKY MOUNTAIN RM-415 ARMBRUST 200 LBS 415 FPS,Accueil,Outdoor plus,Armbrust,Compound,SSA,Rocky Mountain</v>
      </c>
      <c r="W43" s="11">
        <v>1</v>
      </c>
      <c r="X43" s="11">
        <v>1</v>
      </c>
      <c r="Y43" s="18" t="str">
        <f t="shared" si="6"/>
        <v>http://usfh.ch/img/Armbrust/A046079.jpg</v>
      </c>
      <c r="Z43" s="11" t="str">
        <f t="shared" si="10"/>
        <v>A046079</v>
      </c>
      <c r="AA43" s="14">
        <f t="shared" si="11"/>
        <v>0</v>
      </c>
      <c r="AB43" s="14">
        <f t="shared" si="12"/>
        <v>0</v>
      </c>
      <c r="AC43" s="11">
        <v>10</v>
      </c>
    </row>
    <row r="44" spans="1:29" s="15" customFormat="1" ht="15" customHeight="1" x14ac:dyDescent="0.2">
      <c r="A44" s="11">
        <v>43</v>
      </c>
      <c r="B44" s="11"/>
      <c r="C44" s="11"/>
      <c r="D44" s="11"/>
      <c r="E44" s="11"/>
      <c r="F44" s="11">
        <v>0</v>
      </c>
      <c r="G44" s="26" t="s">
        <v>169</v>
      </c>
      <c r="H44" s="11">
        <v>1</v>
      </c>
      <c r="I44" s="19" t="s">
        <v>170</v>
      </c>
      <c r="J44" s="11" t="s">
        <v>48</v>
      </c>
      <c r="K44" s="11"/>
      <c r="L44" s="12">
        <v>799</v>
      </c>
      <c r="M44" s="11">
        <v>53</v>
      </c>
      <c r="N44" s="12">
        <v>410</v>
      </c>
      <c r="O44" s="11" t="str">
        <f t="shared" si="7"/>
        <v>A047544</v>
      </c>
      <c r="P44" s="11" t="s">
        <v>49</v>
      </c>
      <c r="Q44" s="11" t="s">
        <v>171</v>
      </c>
      <c r="R44" s="16"/>
      <c r="S44" s="13" t="s">
        <v>172</v>
      </c>
      <c r="T44" s="11" t="str">
        <f t="shared" si="8"/>
        <v>CENTERPOINT-AMPED-ARMBRUST 200 LBS 415 FPS,Accueil,Outdoor plus,Armbrust,Compound,SSA,CENTERPOINT</v>
      </c>
      <c r="U44" s="11" t="str">
        <f t="shared" si="13"/>
        <v>CENTERPOINT-AMPED-ARMBRUST 200 LBS 415 FPS</v>
      </c>
      <c r="V44" s="11" t="str">
        <f t="shared" si="9"/>
        <v>CENTERPOINT-AMPED-ARMBRUST 200 LBS 415 FPS,Accueil,Outdoor plus,Armbrust,Compound,SSA,CENTERPOINT</v>
      </c>
      <c r="W44" s="11">
        <v>1</v>
      </c>
      <c r="X44" s="11">
        <v>1</v>
      </c>
      <c r="Y44" s="18" t="str">
        <f t="shared" si="6"/>
        <v>http://usfh.ch/img/Armbrust/A047544.jpg</v>
      </c>
      <c r="Z44" s="11" t="str">
        <f t="shared" si="10"/>
        <v>A047544</v>
      </c>
      <c r="AA44" s="14">
        <f t="shared" si="11"/>
        <v>0</v>
      </c>
      <c r="AB44" s="14">
        <f t="shared" si="12"/>
        <v>0</v>
      </c>
      <c r="AC44" s="11">
        <v>10</v>
      </c>
    </row>
    <row r="45" spans="1:29" s="15" customFormat="1" ht="15" customHeight="1" x14ac:dyDescent="0.2">
      <c r="A45" s="11">
        <v>44</v>
      </c>
      <c r="B45" s="11"/>
      <c r="C45" s="11"/>
      <c r="D45" s="11"/>
      <c r="E45" s="11"/>
      <c r="F45" s="11">
        <v>0</v>
      </c>
      <c r="G45" s="26" t="s">
        <v>173</v>
      </c>
      <c r="H45" s="11">
        <v>1</v>
      </c>
      <c r="I45" s="19" t="s">
        <v>174</v>
      </c>
      <c r="J45" s="11" t="s">
        <v>48</v>
      </c>
      <c r="K45" s="11"/>
      <c r="L45" s="12">
        <v>1990</v>
      </c>
      <c r="M45" s="11">
        <v>53</v>
      </c>
      <c r="N45" s="12">
        <v>967</v>
      </c>
      <c r="O45" s="11" t="str">
        <f t="shared" si="7"/>
        <v>A054552</v>
      </c>
      <c r="P45" s="11" t="s">
        <v>49</v>
      </c>
      <c r="Q45" s="11" t="s">
        <v>175</v>
      </c>
      <c r="R45" s="16"/>
      <c r="S45" s="13" t="s">
        <v>176</v>
      </c>
      <c r="T45" s="11" t="str">
        <f t="shared" si="8"/>
        <v>KILLER INSTINCT SWAT XP 200 LBS 415 FPS ARMBRUST,Accueil,Outdoor plus,Armbrust,Compound,SSA,KILLER INSTINCT</v>
      </c>
      <c r="U45" s="11" t="str">
        <f t="shared" si="13"/>
        <v>KILLER INSTINCT SWAT XP 200 LBS 415 FPS ARMBRUST</v>
      </c>
      <c r="V45" s="11" t="str">
        <f t="shared" si="9"/>
        <v>KILLER INSTINCT SWAT XP 200 LBS 415 FPS ARMBRUST,Accueil,Outdoor plus,Armbrust,Compound,SSA,KILLER INSTINCT</v>
      </c>
      <c r="W45" s="11">
        <v>1</v>
      </c>
      <c r="X45" s="11">
        <v>1</v>
      </c>
      <c r="Y45" s="18" t="str">
        <f t="shared" si="6"/>
        <v>http://usfh.ch/img/Armbrust/A054552.jpg</v>
      </c>
      <c r="Z45" s="11" t="str">
        <f t="shared" si="10"/>
        <v>A054552</v>
      </c>
      <c r="AA45" s="14">
        <f t="shared" si="11"/>
        <v>0</v>
      </c>
      <c r="AB45" s="14">
        <f t="shared" si="12"/>
        <v>0</v>
      </c>
      <c r="AC45" s="11">
        <v>10</v>
      </c>
    </row>
    <row r="46" spans="1:29" s="15" customFormat="1" ht="15" customHeight="1" x14ac:dyDescent="0.2">
      <c r="A46" s="11">
        <v>45</v>
      </c>
      <c r="B46" s="11"/>
      <c r="C46" s="11"/>
      <c r="D46" s="11"/>
      <c r="E46" s="11"/>
      <c r="F46" s="11">
        <v>1</v>
      </c>
      <c r="G46" s="26" t="s">
        <v>177</v>
      </c>
      <c r="H46" s="11">
        <v>1</v>
      </c>
      <c r="I46" s="19" t="s">
        <v>178</v>
      </c>
      <c r="J46" s="11" t="s">
        <v>31</v>
      </c>
      <c r="K46" s="11"/>
      <c r="L46" s="12">
        <v>319</v>
      </c>
      <c r="M46" s="11">
        <v>53</v>
      </c>
      <c r="N46" s="12">
        <v>96</v>
      </c>
      <c r="O46" s="11" t="str">
        <f t="shared" si="7"/>
        <v>CR-071MP</v>
      </c>
      <c r="P46" s="11" t="s">
        <v>97</v>
      </c>
      <c r="Q46" s="11" t="s">
        <v>97</v>
      </c>
      <c r="R46" s="16"/>
      <c r="S46" s="13" t="s">
        <v>179</v>
      </c>
      <c r="T46" s="11" t="str">
        <f t="shared" si="8"/>
        <v>JAG 2 PRO ARMBRUST Camo,Accueil,Outdoor plus,Armbrust,Recurve,EK Archery,EK Archery</v>
      </c>
      <c r="U46" s="11" t="str">
        <f t="shared" si="13"/>
        <v>JAG 2 PRO ARMBRUST Camo</v>
      </c>
      <c r="V46" s="11" t="str">
        <f t="shared" si="9"/>
        <v>JAG 2 PRO ARMBRUST Camo,Accueil,Outdoor plus,Armbrust,Recurve,EK Archery,EK Archery</v>
      </c>
      <c r="W46" s="11">
        <v>1</v>
      </c>
      <c r="X46" s="11">
        <v>1</v>
      </c>
      <c r="Y46" s="18" t="str">
        <f t="shared" si="6"/>
        <v>http://usfh.ch/img/Armbrust/CR-071MP.jpg</v>
      </c>
      <c r="Z46" s="11" t="str">
        <f t="shared" si="10"/>
        <v>CR-071MP</v>
      </c>
      <c r="AA46" s="14">
        <f t="shared" si="11"/>
        <v>319</v>
      </c>
      <c r="AB46" s="14">
        <f t="shared" si="12"/>
        <v>96</v>
      </c>
      <c r="AC46" s="11">
        <v>10</v>
      </c>
    </row>
    <row r="47" spans="1:29" s="15" customFormat="1" ht="15" customHeight="1" x14ac:dyDescent="0.2">
      <c r="A47" s="11">
        <v>46</v>
      </c>
      <c r="B47" s="11"/>
      <c r="C47" s="11"/>
      <c r="D47" s="11"/>
      <c r="E47" s="11"/>
      <c r="F47" s="11">
        <v>2</v>
      </c>
      <c r="G47" s="26" t="s">
        <v>180</v>
      </c>
      <c r="H47" s="11">
        <v>1</v>
      </c>
      <c r="I47" s="19" t="s">
        <v>181</v>
      </c>
      <c r="J47" s="11" t="s">
        <v>31</v>
      </c>
      <c r="K47" s="11"/>
      <c r="L47" s="12">
        <v>299</v>
      </c>
      <c r="M47" s="11">
        <v>53</v>
      </c>
      <c r="N47" s="12">
        <v>84</v>
      </c>
      <c r="O47" s="11" t="str">
        <f t="shared" si="7"/>
        <v>CR-071BP</v>
      </c>
      <c r="P47" s="11" t="s">
        <v>97</v>
      </c>
      <c r="Q47" s="11" t="s">
        <v>97</v>
      </c>
      <c r="R47" s="16"/>
      <c r="S47" s="13" t="s">
        <v>182</v>
      </c>
      <c r="T47" s="11" t="str">
        <f t="shared" si="8"/>
        <v>JAG 2 PRO ARMBRUST schwarz,Accueil,Outdoor plus,Armbrust,Recurve,EK Archery,EK Archery</v>
      </c>
      <c r="U47" s="11" t="str">
        <f t="shared" si="13"/>
        <v>JAG 2 PRO ARMBRUST schwarz</v>
      </c>
      <c r="V47" s="11" t="str">
        <f t="shared" si="9"/>
        <v>JAG 2 PRO ARMBRUST schwarz,Accueil,Outdoor plus,Armbrust,Recurve,EK Archery,EK Archery</v>
      </c>
      <c r="W47" s="11">
        <v>1</v>
      </c>
      <c r="X47" s="11">
        <v>1</v>
      </c>
      <c r="Y47" s="18" t="str">
        <f t="shared" si="6"/>
        <v>http://usfh.ch/img/Armbrust/CR-071BP.jpg</v>
      </c>
      <c r="Z47" s="11" t="str">
        <f t="shared" si="10"/>
        <v>CR-071BP</v>
      </c>
      <c r="AA47" s="14">
        <f t="shared" si="11"/>
        <v>598</v>
      </c>
      <c r="AB47" s="14">
        <f t="shared" si="12"/>
        <v>168</v>
      </c>
      <c r="AC47" s="11">
        <v>10</v>
      </c>
    </row>
    <row r="48" spans="1:29" s="15" customFormat="1" ht="15" customHeight="1" x14ac:dyDescent="0.2">
      <c r="A48" s="11">
        <v>47</v>
      </c>
      <c r="B48" s="11"/>
      <c r="C48" s="11"/>
      <c r="D48" s="11"/>
      <c r="E48" s="11"/>
      <c r="F48" s="11">
        <v>0</v>
      </c>
      <c r="G48" s="26" t="s">
        <v>161</v>
      </c>
      <c r="H48" s="11">
        <v>1</v>
      </c>
      <c r="I48" s="19" t="s">
        <v>183</v>
      </c>
      <c r="J48" s="11" t="s">
        <v>48</v>
      </c>
      <c r="K48" s="11"/>
      <c r="L48" s="12">
        <v>1319</v>
      </c>
      <c r="M48" s="11">
        <v>53</v>
      </c>
      <c r="N48" s="12">
        <v>557.70000000000005</v>
      </c>
      <c r="O48" s="11" t="str">
        <f t="shared" si="7"/>
        <v>A041256</v>
      </c>
      <c r="P48" s="11" t="s">
        <v>97</v>
      </c>
      <c r="Q48" s="11" t="s">
        <v>97</v>
      </c>
      <c r="R48" s="16"/>
      <c r="S48" s="13" t="s">
        <v>184</v>
      </c>
      <c r="T48" s="11" t="str">
        <f t="shared" si="8"/>
        <v>CENTER POINT CP400 PACKAGE 400FPS / 200LBS,Accueil,Outdoor plus,Armbrust,Compound,EK Archery,EK Archery</v>
      </c>
      <c r="U48" s="11" t="str">
        <f t="shared" si="13"/>
        <v>CENTER POINT CP400 PACKAGE 400FPS / 200LBS</v>
      </c>
      <c r="V48" s="11" t="str">
        <f t="shared" si="9"/>
        <v>CENTER POINT CP400 PACKAGE 400FPS / 200LBS,Accueil,Outdoor plus,Armbrust,Compound,EK Archery,EK Archery</v>
      </c>
      <c r="W48" s="11">
        <v>1</v>
      </c>
      <c r="X48" s="11">
        <v>1</v>
      </c>
      <c r="Y48" s="18" t="str">
        <f t="shared" si="6"/>
        <v>http://usfh.ch/img/Armbrust/A041256.jpg</v>
      </c>
      <c r="Z48" s="11" t="str">
        <f t="shared" si="10"/>
        <v>A041256</v>
      </c>
      <c r="AA48" s="14">
        <f t="shared" si="11"/>
        <v>0</v>
      </c>
      <c r="AB48" s="14">
        <f t="shared" si="12"/>
        <v>0</v>
      </c>
      <c r="AC48" s="11">
        <v>10</v>
      </c>
    </row>
    <row r="49" spans="1:29" s="15" customFormat="1" ht="15" customHeight="1" x14ac:dyDescent="0.2">
      <c r="A49" s="11">
        <v>48</v>
      </c>
      <c r="B49" s="11"/>
      <c r="C49" s="11"/>
      <c r="D49" s="11"/>
      <c r="E49" s="11"/>
      <c r="F49" s="11">
        <v>0</v>
      </c>
      <c r="G49" s="26" t="s">
        <v>185</v>
      </c>
      <c r="H49" s="11">
        <v>1</v>
      </c>
      <c r="I49" s="19" t="s">
        <v>186</v>
      </c>
      <c r="J49" s="11" t="s">
        <v>48</v>
      </c>
      <c r="K49" s="11"/>
      <c r="L49" s="12">
        <v>899</v>
      </c>
      <c r="M49" s="11">
        <v>53</v>
      </c>
      <c r="N49" s="12">
        <v>379</v>
      </c>
      <c r="O49" s="11" t="str">
        <f t="shared" si="7"/>
        <v>A055383</v>
      </c>
      <c r="P49" s="11" t="s">
        <v>49</v>
      </c>
      <c r="Q49" s="11" t="s">
        <v>175</v>
      </c>
      <c r="R49" s="16"/>
      <c r="S49" s="13" t="s">
        <v>187</v>
      </c>
      <c r="T49" s="11" t="str">
        <f t="shared" si="8"/>
        <v>KILLER INSTINCT RIPPER 425FPS PRO,Accueil,Outdoor plus,Armbrust,Compound,SSA,KILLER INSTINCT</v>
      </c>
      <c r="U49" s="11" t="str">
        <f t="shared" si="13"/>
        <v>KILLER INSTINCT RIPPER 425FPS PRO</v>
      </c>
      <c r="V49" s="11" t="str">
        <f t="shared" si="9"/>
        <v>KILLER INSTINCT RIPPER 425FPS PRO,Accueil,Outdoor plus,Armbrust,Compound,SSA,KILLER INSTINCT</v>
      </c>
      <c r="W49" s="11">
        <v>1</v>
      </c>
      <c r="X49" s="11">
        <v>1</v>
      </c>
      <c r="Y49" s="18" t="str">
        <f t="shared" si="6"/>
        <v>http://usfh.ch/img/Armbrust/A055383.jpg</v>
      </c>
      <c r="Z49" s="11" t="str">
        <f t="shared" si="10"/>
        <v>A055383</v>
      </c>
      <c r="AA49" s="14">
        <f t="shared" si="11"/>
        <v>0</v>
      </c>
      <c r="AB49" s="14">
        <f t="shared" si="12"/>
        <v>0</v>
      </c>
      <c r="AC49" s="11">
        <v>10</v>
      </c>
    </row>
    <row r="50" spans="1:29" s="15" customFormat="1" ht="15" customHeight="1" x14ac:dyDescent="0.2">
      <c r="A50" s="11">
        <v>49</v>
      </c>
      <c r="B50" s="11"/>
      <c r="C50" s="11"/>
      <c r="D50" s="11"/>
      <c r="E50" s="11"/>
      <c r="F50" s="11">
        <v>1</v>
      </c>
      <c r="G50" s="26" t="s">
        <v>188</v>
      </c>
      <c r="H50" s="11">
        <v>1</v>
      </c>
      <c r="I50" s="19" t="s">
        <v>189</v>
      </c>
      <c r="J50" s="11" t="s">
        <v>48</v>
      </c>
      <c r="K50" s="11"/>
      <c r="L50" s="12">
        <v>459</v>
      </c>
      <c r="M50" s="11">
        <v>53</v>
      </c>
      <c r="N50" s="12">
        <v>190</v>
      </c>
      <c r="O50" s="11" t="str">
        <f t="shared" si="7"/>
        <v>CR-070MP</v>
      </c>
      <c r="P50" s="11" t="s">
        <v>97</v>
      </c>
      <c r="Q50" s="11" t="s">
        <v>97</v>
      </c>
      <c r="R50" s="16"/>
      <c r="S50" s="13" t="s">
        <v>190</v>
      </c>
      <c r="T50" s="11" t="str">
        <f t="shared" si="8"/>
        <v>EK POELANG COMPOUND CROSSBOW SETS BLADE+ 340FPS CAMO,Accueil,Outdoor plus,Armbrust,Compound,EK Archery,EK Archery</v>
      </c>
      <c r="U50" s="11" t="str">
        <f t="shared" si="13"/>
        <v>EK POELANG COMPOUND CROSSBOW SETS BLADE+ 340FPS CAMO</v>
      </c>
      <c r="V50" s="11" t="str">
        <f t="shared" si="9"/>
        <v>EK POELANG COMPOUND CROSSBOW SETS BLADE+ 340FPS CAMO,Accueil,Outdoor plus,Armbrust,Compound,EK Archery,EK Archery</v>
      </c>
      <c r="W50" s="11">
        <v>1</v>
      </c>
      <c r="X50" s="11">
        <v>1</v>
      </c>
      <c r="Y50" s="18" t="str">
        <f t="shared" si="6"/>
        <v>http://usfh.ch/img/Armbrust/CR-070MP.jpg</v>
      </c>
      <c r="Z50" s="11" t="str">
        <f t="shared" si="10"/>
        <v>CR-070MP</v>
      </c>
      <c r="AA50" s="14">
        <f t="shared" si="11"/>
        <v>459</v>
      </c>
      <c r="AB50" s="14">
        <f t="shared" si="12"/>
        <v>190</v>
      </c>
      <c r="AC50" s="11">
        <v>10</v>
      </c>
    </row>
    <row r="51" spans="1:29" s="15" customFormat="1" ht="15" customHeight="1" x14ac:dyDescent="0.2">
      <c r="A51" s="11">
        <v>50</v>
      </c>
      <c r="B51" s="11"/>
      <c r="C51" s="11"/>
      <c r="D51" s="11"/>
      <c r="E51" s="11"/>
      <c r="F51" s="11">
        <v>1</v>
      </c>
      <c r="G51" s="26" t="s">
        <v>191</v>
      </c>
      <c r="H51" s="11">
        <v>1</v>
      </c>
      <c r="I51" s="19" t="s">
        <v>192</v>
      </c>
      <c r="J51" s="11" t="s">
        <v>31</v>
      </c>
      <c r="K51" s="11"/>
      <c r="L51" s="12">
        <v>389</v>
      </c>
      <c r="M51" s="11">
        <v>53</v>
      </c>
      <c r="N51" s="12">
        <v>190</v>
      </c>
      <c r="O51" s="11" t="str">
        <f t="shared" si="7"/>
        <v>0000376</v>
      </c>
      <c r="P51" s="11" t="s">
        <v>135</v>
      </c>
      <c r="Q51" s="11" t="s">
        <v>135</v>
      </c>
      <c r="R51" s="16"/>
      <c r="S51" s="13" t="s">
        <v>193</v>
      </c>
      <c r="T51" s="11" t="str">
        <f t="shared" si="8"/>
        <v>Steambow AR-6 Stinger II Tactical,Accueil,Outdoor plus,Armbrust,Recurve,Steambow,Steambow</v>
      </c>
      <c r="U51" s="11" t="str">
        <f t="shared" si="13"/>
        <v>Steambow AR-6 Stinger II Tactical</v>
      </c>
      <c r="V51" s="11" t="str">
        <f t="shared" si="9"/>
        <v>Steambow AR-6 Stinger II Tactical,Accueil,Outdoor plus,Armbrust,Recurve,Steambow,Steambow</v>
      </c>
      <c r="W51" s="11">
        <v>1</v>
      </c>
      <c r="X51" s="11">
        <v>1</v>
      </c>
      <c r="Y51" s="18" t="str">
        <f t="shared" si="6"/>
        <v>http://usfh.ch/img/Armbrust/0000376.jpg</v>
      </c>
      <c r="Z51" s="11" t="str">
        <f t="shared" si="10"/>
        <v>0000376</v>
      </c>
      <c r="AA51" s="14">
        <f t="shared" si="11"/>
        <v>389</v>
      </c>
      <c r="AB51" s="14">
        <f t="shared" si="12"/>
        <v>190</v>
      </c>
      <c r="AC51" s="11">
        <v>10</v>
      </c>
    </row>
    <row r="52" spans="1:29" s="15" customFormat="1" ht="15" customHeight="1" x14ac:dyDescent="0.2">
      <c r="A52" s="11">
        <v>51</v>
      </c>
      <c r="B52" s="11"/>
      <c r="C52" s="11"/>
      <c r="D52" s="11"/>
      <c r="E52" s="11"/>
      <c r="F52" s="11">
        <v>2</v>
      </c>
      <c r="G52" s="26" t="s">
        <v>194</v>
      </c>
      <c r="H52" s="11">
        <v>1</v>
      </c>
      <c r="I52" s="19" t="s">
        <v>195</v>
      </c>
      <c r="J52" s="11" t="s">
        <v>48</v>
      </c>
      <c r="K52" s="11"/>
      <c r="L52" s="12">
        <v>599</v>
      </c>
      <c r="M52" s="11">
        <v>53</v>
      </c>
      <c r="N52" s="12">
        <v>307</v>
      </c>
      <c r="O52" s="11" t="str">
        <f t="shared" si="7"/>
        <v>CR-120BP</v>
      </c>
      <c r="P52" s="11" t="s">
        <v>97</v>
      </c>
      <c r="Q52" s="11" t="s">
        <v>97</v>
      </c>
      <c r="R52" s="16"/>
      <c r="S52" s="13" t="s">
        <v>196</v>
      </c>
      <c r="T52" s="11" t="str">
        <f t="shared" si="8"/>
        <v>COBRA SYSTEM SIEGE,Accueil,Outdoor plus,Armbrust,Compound,EK Archery,EK Archery</v>
      </c>
      <c r="U52" s="11" t="str">
        <f t="shared" si="13"/>
        <v>COBRA SYSTEM SIEGE</v>
      </c>
      <c r="V52" s="11" t="str">
        <f t="shared" si="9"/>
        <v>COBRA SYSTEM SIEGE,Accueil,Outdoor plus,Armbrust,Compound,EK Archery,EK Archery</v>
      </c>
      <c r="W52" s="11">
        <v>1</v>
      </c>
      <c r="X52" s="11">
        <v>1</v>
      </c>
      <c r="Y52" s="18" t="str">
        <f t="shared" si="6"/>
        <v>http://usfh.ch/img/Armbrust/CR-120BP.jpg</v>
      </c>
      <c r="Z52" s="11" t="str">
        <f t="shared" si="10"/>
        <v>CR-120BP</v>
      </c>
      <c r="AA52" s="14">
        <f t="shared" si="11"/>
        <v>1198</v>
      </c>
      <c r="AB52" s="14">
        <f t="shared" si="12"/>
        <v>614</v>
      </c>
      <c r="AC52" s="11">
        <v>10</v>
      </c>
    </row>
    <row r="53" spans="1:29" s="15" customFormat="1" ht="15" customHeight="1" x14ac:dyDescent="0.2">
      <c r="A53" s="11">
        <v>52</v>
      </c>
      <c r="B53" s="11"/>
      <c r="C53" s="11"/>
      <c r="D53" s="11"/>
      <c r="E53" s="11"/>
      <c r="F53" s="11">
        <v>0</v>
      </c>
      <c r="G53" s="26" t="s">
        <v>197</v>
      </c>
      <c r="H53" s="11">
        <v>1</v>
      </c>
      <c r="I53" s="19" t="s">
        <v>198</v>
      </c>
      <c r="J53" s="11" t="s">
        <v>48</v>
      </c>
      <c r="K53" s="11"/>
      <c r="L53" s="12">
        <v>3600</v>
      </c>
      <c r="M53" s="11">
        <v>53</v>
      </c>
      <c r="N53" s="12">
        <v>2300</v>
      </c>
      <c r="O53" s="11" t="str">
        <f t="shared" si="7"/>
        <v>A047520</v>
      </c>
      <c r="P53" s="11" t="s">
        <v>49</v>
      </c>
      <c r="Q53" s="11" t="s">
        <v>104</v>
      </c>
      <c r="R53" s="16"/>
      <c r="S53" s="13" t="s">
        <v>199</v>
      </c>
      <c r="T53" s="11" t="str">
        <f t="shared" si="8"/>
        <v>RAVIN CROSSBOWS R29X - Compoundarmbrust,Accueil,Outdoor plus,Armbrust,Compound,SSA,Ravin</v>
      </c>
      <c r="U53" s="11" t="str">
        <f t="shared" si="13"/>
        <v>RAVIN CROSSBOWS R29X - Compoundarmbrust</v>
      </c>
      <c r="V53" s="11" t="str">
        <f t="shared" si="9"/>
        <v>RAVIN CROSSBOWS R29X - Compoundarmbrust,Accueil,Outdoor plus,Armbrust,Compound,SSA,Ravin</v>
      </c>
      <c r="W53" s="11">
        <v>1</v>
      </c>
      <c r="X53" s="11">
        <v>1</v>
      </c>
      <c r="Y53" s="18" t="str">
        <f t="shared" si="6"/>
        <v>http://usfh.ch/img/Armbrust/A047520.jpg</v>
      </c>
      <c r="Z53" s="11" t="str">
        <f t="shared" si="10"/>
        <v>A047520</v>
      </c>
      <c r="AA53" s="14">
        <f t="shared" si="11"/>
        <v>0</v>
      </c>
      <c r="AB53" s="14">
        <f t="shared" si="12"/>
        <v>0</v>
      </c>
      <c r="AC53" s="11">
        <v>10</v>
      </c>
    </row>
    <row r="54" spans="1:29" s="15" customFormat="1" ht="15" customHeight="1" x14ac:dyDescent="0.2">
      <c r="A54" s="11">
        <v>53</v>
      </c>
      <c r="B54" s="11"/>
      <c r="C54" s="11"/>
      <c r="D54" s="11"/>
      <c r="E54" s="11"/>
      <c r="F54" s="11">
        <v>0</v>
      </c>
      <c r="G54" s="26" t="s">
        <v>200</v>
      </c>
      <c r="H54" s="11">
        <v>1</v>
      </c>
      <c r="I54" s="19" t="s">
        <v>201</v>
      </c>
      <c r="J54" s="11" t="s">
        <v>48</v>
      </c>
      <c r="K54" s="11"/>
      <c r="L54" s="12">
        <v>3800</v>
      </c>
      <c r="M54" s="11">
        <v>53</v>
      </c>
      <c r="N54" s="12">
        <v>2615</v>
      </c>
      <c r="O54" s="11" t="str">
        <f t="shared" ref="O54:O73" si="14">G54</f>
        <v>A047521</v>
      </c>
      <c r="P54" s="11" t="s">
        <v>49</v>
      </c>
      <c r="Q54" s="11" t="s">
        <v>104</v>
      </c>
      <c r="R54" s="16"/>
      <c r="S54" s="13" t="s">
        <v>202</v>
      </c>
      <c r="T54" s="11" t="str">
        <f t="shared" ref="T54:T76" si="15">$I54 &amp; "," &amp; $J54 &amp;"," &amp; $P54 &amp;","&amp; $Q54</f>
        <v>Ravin Armbrust R29X Sniper Dusk Camo,Accueil,Outdoor plus,Armbrust,Compound,SSA,Ravin</v>
      </c>
      <c r="U54" s="11" t="str">
        <f t="shared" si="13"/>
        <v>Ravin Armbrust R29X Sniper Dusk Camo</v>
      </c>
      <c r="V54" s="11" t="str">
        <f t="shared" ref="V54:V73" si="16">T54</f>
        <v>Ravin Armbrust R29X Sniper Dusk Camo,Accueil,Outdoor plus,Armbrust,Compound,SSA,Ravin</v>
      </c>
      <c r="W54" s="11">
        <v>1</v>
      </c>
      <c r="X54" s="11">
        <v>1</v>
      </c>
      <c r="Y54" s="18" t="str">
        <f t="shared" si="6"/>
        <v>http://usfh.ch/img/Armbrust/A047521.jpg</v>
      </c>
      <c r="Z54" s="11" t="str">
        <f t="shared" ref="Z54:Z73" si="17">G54</f>
        <v>A047521</v>
      </c>
      <c r="AA54" s="14">
        <f t="shared" ref="AA54:AA73" si="18">F54*L54</f>
        <v>0</v>
      </c>
      <c r="AB54" s="14">
        <f t="shared" ref="AB54:AB73" si="19">F54*N54</f>
        <v>0</v>
      </c>
      <c r="AC54" s="11">
        <v>10</v>
      </c>
    </row>
    <row r="55" spans="1:29" s="15" customFormat="1" ht="15" customHeight="1" x14ac:dyDescent="0.2">
      <c r="A55" s="11">
        <v>54</v>
      </c>
      <c r="B55" s="11"/>
      <c r="C55" s="11"/>
      <c r="D55" s="11"/>
      <c r="E55" s="11"/>
      <c r="F55" s="11">
        <v>2</v>
      </c>
      <c r="G55" s="26" t="s">
        <v>203</v>
      </c>
      <c r="H55" s="11">
        <v>1</v>
      </c>
      <c r="I55" s="19" t="s">
        <v>204</v>
      </c>
      <c r="J55" s="11" t="s">
        <v>31</v>
      </c>
      <c r="K55" s="11"/>
      <c r="L55" s="12">
        <v>319</v>
      </c>
      <c r="M55" s="11">
        <v>53</v>
      </c>
      <c r="N55" s="12">
        <v>170</v>
      </c>
      <c r="O55" s="11" t="str">
        <f t="shared" si="14"/>
        <v>SKU 0000414</v>
      </c>
      <c r="P55" s="11" t="s">
        <v>135</v>
      </c>
      <c r="Q55" s="11" t="s">
        <v>135</v>
      </c>
      <c r="R55" s="16"/>
      <c r="S55" s="13" t="s">
        <v>205</v>
      </c>
      <c r="T55" s="11" t="str">
        <f t="shared" si="15"/>
        <v>Steambow AR-6 Stinger II Compact,Accueil,Outdoor plus,Armbrust,Recurve,Steambow,Steambow</v>
      </c>
      <c r="U55" s="11" t="str">
        <f t="shared" si="13"/>
        <v>Steambow AR-6 Stinger II Compact</v>
      </c>
      <c r="V55" s="11" t="str">
        <f t="shared" si="16"/>
        <v>Steambow AR-6 Stinger II Compact,Accueil,Outdoor plus,Armbrust,Recurve,Steambow,Steambow</v>
      </c>
      <c r="W55" s="11">
        <v>1</v>
      </c>
      <c r="X55" s="11">
        <v>1</v>
      </c>
      <c r="Y55" s="18" t="str">
        <f t="shared" si="6"/>
        <v>http://usfh.ch/img/Armbrust/SKU 0000414.jpg</v>
      </c>
      <c r="Z55" s="11" t="str">
        <f t="shared" si="17"/>
        <v>SKU 0000414</v>
      </c>
      <c r="AA55" s="14">
        <f t="shared" si="18"/>
        <v>638</v>
      </c>
      <c r="AB55" s="14">
        <f t="shared" si="19"/>
        <v>340</v>
      </c>
      <c r="AC55" s="11">
        <v>10</v>
      </c>
    </row>
    <row r="56" spans="1:29" s="15" customFormat="1" ht="15" customHeight="1" x14ac:dyDescent="0.2">
      <c r="A56" s="11">
        <v>55</v>
      </c>
      <c r="B56" s="11"/>
      <c r="C56" s="11"/>
      <c r="D56" s="11"/>
      <c r="E56" s="11"/>
      <c r="F56" s="11">
        <v>1</v>
      </c>
      <c r="G56" s="26" t="s">
        <v>206</v>
      </c>
      <c r="H56" s="11">
        <v>1</v>
      </c>
      <c r="I56" s="19" t="s">
        <v>207</v>
      </c>
      <c r="J56" s="11" t="s">
        <v>48</v>
      </c>
      <c r="K56" s="11"/>
      <c r="L56" s="12">
        <v>449</v>
      </c>
      <c r="M56" s="11">
        <v>53</v>
      </c>
      <c r="N56" s="12">
        <v>139</v>
      </c>
      <c r="O56" s="11" t="str">
        <f t="shared" si="14"/>
        <v>CR-070BP</v>
      </c>
      <c r="P56" s="11" t="s">
        <v>97</v>
      </c>
      <c r="Q56" s="11" t="s">
        <v>97</v>
      </c>
      <c r="R56" s="16"/>
      <c r="S56" s="13" t="s">
        <v>208</v>
      </c>
      <c r="T56" s="11" t="str">
        <f t="shared" si="15"/>
        <v>Armbrust BLADE+ black,Accueil,Outdoor plus,Armbrust,Compound,EK Archery,EK Archery</v>
      </c>
      <c r="U56" s="11" t="str">
        <f t="shared" si="13"/>
        <v>Armbrust BLADE+ black</v>
      </c>
      <c r="V56" s="11" t="str">
        <f t="shared" si="16"/>
        <v>Armbrust BLADE+ black,Accueil,Outdoor plus,Armbrust,Compound,EK Archery,EK Archery</v>
      </c>
      <c r="W56" s="11">
        <v>1</v>
      </c>
      <c r="X56" s="11">
        <v>1</v>
      </c>
      <c r="Y56" s="18" t="str">
        <f t="shared" si="6"/>
        <v>http://usfh.ch/img/Armbrust/CR-070BP.jpg</v>
      </c>
      <c r="Z56" s="11" t="str">
        <f t="shared" si="17"/>
        <v>CR-070BP</v>
      </c>
      <c r="AA56" s="14">
        <f t="shared" si="18"/>
        <v>449</v>
      </c>
      <c r="AB56" s="14">
        <f t="shared" si="19"/>
        <v>139</v>
      </c>
      <c r="AC56" s="11">
        <v>10</v>
      </c>
    </row>
    <row r="57" spans="1:29" s="15" customFormat="1" ht="15" customHeight="1" x14ac:dyDescent="0.2">
      <c r="A57" s="11">
        <v>56</v>
      </c>
      <c r="B57" s="11"/>
      <c r="C57" s="11"/>
      <c r="D57" s="11"/>
      <c r="E57" s="11"/>
      <c r="F57" s="11">
        <v>0</v>
      </c>
      <c r="G57" s="26" t="s">
        <v>209</v>
      </c>
      <c r="H57" s="11">
        <v>1</v>
      </c>
      <c r="I57" s="19" t="s">
        <v>210</v>
      </c>
      <c r="J57" s="11" t="s">
        <v>48</v>
      </c>
      <c r="K57" s="11"/>
      <c r="L57" s="12">
        <v>399</v>
      </c>
      <c r="M57" s="11">
        <v>53</v>
      </c>
      <c r="N57" s="12">
        <v>182</v>
      </c>
      <c r="O57" s="11" t="str">
        <f t="shared" si="14"/>
        <v>A048260</v>
      </c>
      <c r="P57" s="11" t="s">
        <v>49</v>
      </c>
      <c r="Q57" s="11" t="s">
        <v>211</v>
      </c>
      <c r="R57" s="16"/>
      <c r="S57" s="13" t="s">
        <v>212</v>
      </c>
      <c r="T57" s="11" t="str">
        <f t="shared" si="15"/>
        <v>BRAVE CAMO 360FPS 165LBS ​COMPOUND ARMBRUST,Accueil,Outdoor plus,Armbrust,Compound,SSA,JunXing</v>
      </c>
      <c r="U57" s="11" t="str">
        <f t="shared" si="13"/>
        <v>BRAVE CAMO 360FPS 165LBS ​COMPOUND ARMBRUST</v>
      </c>
      <c r="V57" s="11" t="str">
        <f t="shared" si="16"/>
        <v>BRAVE CAMO 360FPS 165LBS ​COMPOUND ARMBRUST,Accueil,Outdoor plus,Armbrust,Compound,SSA,JunXing</v>
      </c>
      <c r="W57" s="11">
        <v>1</v>
      </c>
      <c r="X57" s="11">
        <v>1</v>
      </c>
      <c r="Y57" s="18" t="str">
        <f t="shared" si="6"/>
        <v>http://usfh.ch/img/Armbrust/A048260.jpg</v>
      </c>
      <c r="Z57" s="11" t="str">
        <f t="shared" si="17"/>
        <v>A048260</v>
      </c>
      <c r="AA57" s="14">
        <f t="shared" si="18"/>
        <v>0</v>
      </c>
      <c r="AB57" s="14">
        <f t="shared" si="19"/>
        <v>0</v>
      </c>
      <c r="AC57" s="11">
        <v>10</v>
      </c>
    </row>
    <row r="58" spans="1:29" s="15" customFormat="1" ht="15" customHeight="1" x14ac:dyDescent="0.2">
      <c r="A58" s="11">
        <v>57</v>
      </c>
      <c r="B58" s="11"/>
      <c r="C58" s="11"/>
      <c r="D58" s="11"/>
      <c r="E58" s="11"/>
      <c r="F58" s="11">
        <v>0</v>
      </c>
      <c r="G58" s="26" t="s">
        <v>213</v>
      </c>
      <c r="H58" s="11">
        <v>1</v>
      </c>
      <c r="I58" s="19" t="s">
        <v>214</v>
      </c>
      <c r="J58" s="11" t="s">
        <v>48</v>
      </c>
      <c r="K58" s="11"/>
      <c r="L58" s="12">
        <v>399</v>
      </c>
      <c r="M58" s="11">
        <v>53</v>
      </c>
      <c r="N58" s="12">
        <v>182</v>
      </c>
      <c r="O58" s="11" t="str">
        <f t="shared" si="14"/>
        <v>A055650</v>
      </c>
      <c r="P58" s="11" t="s">
        <v>49</v>
      </c>
      <c r="Q58" s="11" t="s">
        <v>211</v>
      </c>
      <c r="R58" s="16"/>
      <c r="S58" s="13" t="s">
        <v>212</v>
      </c>
      <c r="T58" s="11" t="str">
        <f t="shared" si="15"/>
        <v>BRAVE BLACK 360FPS 165LBS ​​COMPOUND ARMBRUST,Accueil,Outdoor plus,Armbrust,Compound,SSA,JunXing</v>
      </c>
      <c r="U58" s="11" t="str">
        <f t="shared" si="13"/>
        <v>BRAVE BLACK 360FPS 165LBS ​​COMPOUND ARMBRUST</v>
      </c>
      <c r="V58" s="11" t="str">
        <f t="shared" si="16"/>
        <v>BRAVE BLACK 360FPS 165LBS ​​COMPOUND ARMBRUST,Accueil,Outdoor plus,Armbrust,Compound,SSA,JunXing</v>
      </c>
      <c r="W58" s="11">
        <v>1</v>
      </c>
      <c r="X58" s="11">
        <v>1</v>
      </c>
      <c r="Y58" s="18" t="str">
        <f t="shared" si="6"/>
        <v>http://usfh.ch/img/Armbrust/A055650.jpg</v>
      </c>
      <c r="Z58" s="11" t="str">
        <f t="shared" si="17"/>
        <v>A055650</v>
      </c>
      <c r="AA58" s="14">
        <f t="shared" si="18"/>
        <v>0</v>
      </c>
      <c r="AB58" s="14">
        <f t="shared" si="19"/>
        <v>0</v>
      </c>
      <c r="AC58" s="11">
        <v>10</v>
      </c>
    </row>
    <row r="59" spans="1:29" s="15" customFormat="1" ht="15" customHeight="1" x14ac:dyDescent="0.2">
      <c r="A59" s="11">
        <v>58</v>
      </c>
      <c r="B59" s="11"/>
      <c r="C59" s="11"/>
      <c r="D59" s="11"/>
      <c r="E59" s="11"/>
      <c r="F59" s="11">
        <v>1</v>
      </c>
      <c r="G59" s="26" t="s">
        <v>215</v>
      </c>
      <c r="H59" s="11">
        <v>1</v>
      </c>
      <c r="I59" s="19" t="s">
        <v>216</v>
      </c>
      <c r="J59" s="11" t="s">
        <v>48</v>
      </c>
      <c r="K59" s="11"/>
      <c r="L59" s="12">
        <v>759</v>
      </c>
      <c r="M59" s="11">
        <v>53</v>
      </c>
      <c r="N59" s="12">
        <v>359</v>
      </c>
      <c r="O59" s="11" t="str">
        <f t="shared" si="14"/>
        <v>A054379</v>
      </c>
      <c r="P59" s="11" t="s">
        <v>49</v>
      </c>
      <c r="Q59" s="11" t="s">
        <v>50</v>
      </c>
      <c r="R59" s="16"/>
      <c r="S59" s="13" t="s">
        <v>217</v>
      </c>
      <c r="T59" s="11" t="str">
        <f t="shared" si="15"/>
        <v>BARNETT ARMBRUST-PAKETE EXPLORER XP 380FPS 180LBS,Accueil,Outdoor plus,Armbrust,Compound,SSA,Barnett</v>
      </c>
      <c r="U59" s="11" t="str">
        <f t="shared" si="13"/>
        <v>BARNETT ARMBRUST-PAKETE EXPLORER XP 380FPS 180LBS</v>
      </c>
      <c r="V59" s="11" t="str">
        <f t="shared" si="16"/>
        <v>BARNETT ARMBRUST-PAKETE EXPLORER XP 380FPS 180LBS,Accueil,Outdoor plus,Armbrust,Compound,SSA,Barnett</v>
      </c>
      <c r="W59" s="11">
        <v>1</v>
      </c>
      <c r="X59" s="11">
        <v>1</v>
      </c>
      <c r="Y59" s="18" t="str">
        <f t="shared" si="6"/>
        <v>http://usfh.ch/img/Armbrust/A054379.jpg</v>
      </c>
      <c r="Z59" s="11" t="str">
        <f t="shared" si="17"/>
        <v>A054379</v>
      </c>
      <c r="AA59" s="14">
        <f t="shared" si="18"/>
        <v>759</v>
      </c>
      <c r="AB59" s="14">
        <f t="shared" si="19"/>
        <v>359</v>
      </c>
      <c r="AC59" s="11">
        <v>10</v>
      </c>
    </row>
    <row r="60" spans="1:29" s="15" customFormat="1" ht="15" customHeight="1" x14ac:dyDescent="0.2">
      <c r="A60" s="11">
        <v>59</v>
      </c>
      <c r="B60" s="11"/>
      <c r="C60" s="11"/>
      <c r="D60" s="11"/>
      <c r="E60" s="11"/>
      <c r="F60" s="11">
        <v>0</v>
      </c>
      <c r="G60" s="26" t="s">
        <v>218</v>
      </c>
      <c r="H60" s="11">
        <v>1</v>
      </c>
      <c r="I60" s="19" t="s">
        <v>219</v>
      </c>
      <c r="J60" s="11" t="s">
        <v>31</v>
      </c>
      <c r="K60" s="11"/>
      <c r="L60" s="12">
        <v>369</v>
      </c>
      <c r="M60" s="11">
        <v>53</v>
      </c>
      <c r="N60" s="12">
        <v>161</v>
      </c>
      <c r="O60" s="11" t="str">
        <f t="shared" si="14"/>
        <v>A046665</v>
      </c>
      <c r="P60" s="11" t="s">
        <v>49</v>
      </c>
      <c r="Q60" s="11" t="s">
        <v>171</v>
      </c>
      <c r="R60" s="16"/>
      <c r="S60" s="13" t="s">
        <v>220</v>
      </c>
      <c r="T60" s="11" t="str">
        <f t="shared" si="15"/>
        <v>CENTER POINT TYRO PAKET 245FPS / 175LBS,Accueil,Outdoor plus,Armbrust,Recurve,SSA,CENTERPOINT</v>
      </c>
      <c r="U60" s="11" t="str">
        <f t="shared" si="13"/>
        <v>CENTER POINT TYRO PAKET 245FPS / 175LBS</v>
      </c>
      <c r="V60" s="11" t="str">
        <f t="shared" si="16"/>
        <v>CENTER POINT TYRO PAKET 245FPS / 175LBS,Accueil,Outdoor plus,Armbrust,Recurve,SSA,CENTERPOINT</v>
      </c>
      <c r="W60" s="11">
        <v>1</v>
      </c>
      <c r="X60" s="11">
        <v>1</v>
      </c>
      <c r="Y60" s="18" t="str">
        <f t="shared" si="6"/>
        <v>http://usfh.ch/img/Armbrust/A046665.jpg</v>
      </c>
      <c r="Z60" s="11" t="str">
        <f t="shared" si="17"/>
        <v>A046665</v>
      </c>
      <c r="AA60" s="14">
        <f t="shared" si="18"/>
        <v>0</v>
      </c>
      <c r="AB60" s="14">
        <f t="shared" si="19"/>
        <v>0</v>
      </c>
      <c r="AC60" s="11">
        <v>10</v>
      </c>
    </row>
    <row r="61" spans="1:29" s="15" customFormat="1" ht="15" customHeight="1" x14ac:dyDescent="0.2">
      <c r="A61" s="11">
        <v>60</v>
      </c>
      <c r="B61" s="11"/>
      <c r="C61" s="11"/>
      <c r="D61" s="11"/>
      <c r="E61" s="11"/>
      <c r="F61" s="11">
        <v>1</v>
      </c>
      <c r="G61" s="11" t="s">
        <v>221</v>
      </c>
      <c r="H61" s="11">
        <v>1</v>
      </c>
      <c r="I61" s="11" t="s">
        <v>222</v>
      </c>
      <c r="J61" s="11" t="s">
        <v>48</v>
      </c>
      <c r="K61" s="11"/>
      <c r="L61" s="12">
        <v>675</v>
      </c>
      <c r="M61" s="11">
        <v>53</v>
      </c>
      <c r="N61" s="12">
        <v>301</v>
      </c>
      <c r="O61" s="11" t="str">
        <f t="shared" si="14"/>
        <v>CR-068SCP</v>
      </c>
      <c r="P61" s="11" t="s">
        <v>35</v>
      </c>
      <c r="Q61" s="11" t="s">
        <v>35</v>
      </c>
      <c r="R61" s="16"/>
      <c r="S61" s="13" t="s">
        <v>223</v>
      </c>
      <c r="T61" s="11" t="str">
        <f t="shared" si="15"/>
        <v>Accelerator 410+ Camo,Accueil,Outdoor plus,Armbrust,Compound,Ek Archery,Ek Archery</v>
      </c>
      <c r="U61" s="11" t="s">
        <v>30</v>
      </c>
      <c r="V61" s="11" t="str">
        <f t="shared" si="16"/>
        <v>Accelerator 410+ Camo,Accueil,Outdoor plus,Armbrust,Compound,Ek Archery,Ek Archery</v>
      </c>
      <c r="W61" s="11">
        <v>1</v>
      </c>
      <c r="X61" s="11">
        <v>1</v>
      </c>
      <c r="Y61" s="18" t="str">
        <f t="shared" si="6"/>
        <v>http://usfh.ch/img/Armbrust/CR-068SCP.jpg</v>
      </c>
      <c r="Z61" s="11" t="str">
        <f t="shared" si="17"/>
        <v>CR-068SCP</v>
      </c>
      <c r="AA61" s="14">
        <f t="shared" si="18"/>
        <v>675</v>
      </c>
      <c r="AB61" s="14">
        <f t="shared" si="19"/>
        <v>301</v>
      </c>
      <c r="AC61" s="11">
        <v>10</v>
      </c>
    </row>
    <row r="62" spans="1:29" s="15" customFormat="1" ht="15" customHeight="1" x14ac:dyDescent="0.2">
      <c r="A62" s="11">
        <v>61</v>
      </c>
      <c r="B62" s="11"/>
      <c r="C62" s="11"/>
      <c r="D62" s="11"/>
      <c r="E62" s="11"/>
      <c r="F62" s="11">
        <v>0</v>
      </c>
      <c r="G62" s="11" t="s">
        <v>224</v>
      </c>
      <c r="H62" s="11">
        <v>1</v>
      </c>
      <c r="I62" s="11" t="s">
        <v>225</v>
      </c>
      <c r="J62" s="11" t="s">
        <v>48</v>
      </c>
      <c r="K62" s="11"/>
      <c r="L62" s="12">
        <v>2590</v>
      </c>
      <c r="M62" s="11">
        <v>53</v>
      </c>
      <c r="N62" s="12">
        <v>1579</v>
      </c>
      <c r="O62" s="11" t="str">
        <f t="shared" si="14"/>
        <v>A054824</v>
      </c>
      <c r="P62" s="11" t="s">
        <v>49</v>
      </c>
      <c r="Q62" s="11" t="s">
        <v>226</v>
      </c>
      <c r="R62" s="16"/>
      <c r="S62" s="13" t="s">
        <v>227</v>
      </c>
      <c r="T62" s="11" t="str">
        <f t="shared" si="15"/>
        <v>Armbrust AXE AX440,Accueil,Outdoor plus,Armbrust,Compound,SSA,AXE</v>
      </c>
      <c r="U62" s="11" t="s">
        <v>30</v>
      </c>
      <c r="V62" s="11" t="str">
        <f t="shared" si="16"/>
        <v>Armbrust AXE AX440,Accueil,Outdoor plus,Armbrust,Compound,SSA,AXE</v>
      </c>
      <c r="W62" s="11">
        <v>1</v>
      </c>
      <c r="X62" s="11">
        <v>1</v>
      </c>
      <c r="Y62" s="18" t="str">
        <f t="shared" si="6"/>
        <v>http://usfh.ch/img/Armbrust/A054824.jpg</v>
      </c>
      <c r="Z62" s="11" t="str">
        <f t="shared" si="17"/>
        <v>A054824</v>
      </c>
      <c r="AA62" s="14">
        <f t="shared" si="18"/>
        <v>0</v>
      </c>
      <c r="AB62" s="14">
        <f t="shared" si="19"/>
        <v>0</v>
      </c>
      <c r="AC62" s="11">
        <v>10</v>
      </c>
    </row>
    <row r="63" spans="1:29" s="15" customFormat="1" ht="15" customHeight="1" x14ac:dyDescent="0.2">
      <c r="A63" s="11">
        <v>62</v>
      </c>
      <c r="B63" s="11"/>
      <c r="C63" s="11"/>
      <c r="D63" s="11"/>
      <c r="E63" s="11"/>
      <c r="F63" s="11">
        <v>0</v>
      </c>
      <c r="G63" s="11" t="s">
        <v>228</v>
      </c>
      <c r="H63" s="11">
        <v>1</v>
      </c>
      <c r="I63" s="11" t="s">
        <v>229</v>
      </c>
      <c r="J63" s="11" t="s">
        <v>48</v>
      </c>
      <c r="K63" s="11"/>
      <c r="L63" s="12">
        <v>890</v>
      </c>
      <c r="M63" s="11">
        <v>53</v>
      </c>
      <c r="N63" s="12">
        <v>400</v>
      </c>
      <c r="O63" s="11" t="str">
        <f t="shared" si="14"/>
        <v>A056002</v>
      </c>
      <c r="P63" s="11" t="s">
        <v>49</v>
      </c>
      <c r="Q63" s="11" t="s">
        <v>171</v>
      </c>
      <c r="R63" s="16"/>
      <c r="S63" s="13" t="s">
        <v>230</v>
      </c>
      <c r="T63" s="11" t="str">
        <f t="shared" si="15"/>
        <v>Compoundarmbrust CenterPoint Amped 425 mit Power Draw,Accueil,Outdoor plus,Armbrust,Compound,SSA,CENTERPOINT</v>
      </c>
      <c r="U63" s="11" t="s">
        <v>30</v>
      </c>
      <c r="V63" s="11" t="str">
        <f t="shared" si="16"/>
        <v>Compoundarmbrust CenterPoint Amped 425 mit Power Draw,Accueil,Outdoor plus,Armbrust,Compound,SSA,CENTERPOINT</v>
      </c>
      <c r="W63" s="11">
        <v>1</v>
      </c>
      <c r="X63" s="11">
        <v>1</v>
      </c>
      <c r="Y63" s="18" t="str">
        <f t="shared" si="6"/>
        <v>http://usfh.ch/img/Armbrust/A056002.jpg</v>
      </c>
      <c r="Z63" s="11" t="str">
        <f t="shared" si="17"/>
        <v>A056002</v>
      </c>
      <c r="AA63" s="14">
        <f t="shared" si="18"/>
        <v>0</v>
      </c>
      <c r="AB63" s="14">
        <f t="shared" si="19"/>
        <v>0</v>
      </c>
      <c r="AC63" s="11">
        <v>10</v>
      </c>
    </row>
    <row r="64" spans="1:29" s="15" customFormat="1" ht="15" customHeight="1" x14ac:dyDescent="0.2">
      <c r="A64" s="11">
        <v>63</v>
      </c>
      <c r="B64" s="11"/>
      <c r="C64" s="11"/>
      <c r="D64" s="11"/>
      <c r="E64" s="11"/>
      <c r="F64" s="11">
        <v>0</v>
      </c>
      <c r="G64" s="11" t="s">
        <v>231</v>
      </c>
      <c r="H64" s="11">
        <v>1</v>
      </c>
      <c r="I64" s="11" t="s">
        <v>232</v>
      </c>
      <c r="J64" s="11" t="s">
        <v>48</v>
      </c>
      <c r="K64" s="11"/>
      <c r="L64" s="12">
        <v>3990</v>
      </c>
      <c r="M64" s="11">
        <v>53</v>
      </c>
      <c r="N64" s="12">
        <v>2865</v>
      </c>
      <c r="O64" s="11" t="str">
        <f t="shared" si="14"/>
        <v>A061407</v>
      </c>
      <c r="P64" s="11" t="s">
        <v>49</v>
      </c>
      <c r="Q64" s="11" t="s">
        <v>104</v>
      </c>
      <c r="R64" s="16"/>
      <c r="S64" s="13" t="s">
        <v>233</v>
      </c>
      <c r="T64" s="11" t="str">
        <f t="shared" si="15"/>
        <v>Ravin Armbrust R29X Sniper Black,Accueil,Outdoor plus,Armbrust,Compound,SSA,Ravin</v>
      </c>
      <c r="U64" s="11" t="s">
        <v>30</v>
      </c>
      <c r="V64" s="11" t="str">
        <f t="shared" si="16"/>
        <v>Ravin Armbrust R29X Sniper Black,Accueil,Outdoor plus,Armbrust,Compound,SSA,Ravin</v>
      </c>
      <c r="W64" s="11">
        <v>1</v>
      </c>
      <c r="X64" s="11">
        <v>1</v>
      </c>
      <c r="Y64" s="18" t="str">
        <f t="shared" si="6"/>
        <v>http://usfh.ch/img/Armbrust/A061407.jpg</v>
      </c>
      <c r="Z64" s="11" t="str">
        <f t="shared" si="17"/>
        <v>A061407</v>
      </c>
      <c r="AA64" s="14">
        <f t="shared" si="18"/>
        <v>0</v>
      </c>
      <c r="AB64" s="14">
        <f t="shared" si="19"/>
        <v>0</v>
      </c>
      <c r="AC64" s="11">
        <v>10</v>
      </c>
    </row>
    <row r="65" spans="1:29" s="15" customFormat="1" ht="15" customHeight="1" x14ac:dyDescent="0.2">
      <c r="A65" s="11">
        <v>64</v>
      </c>
      <c r="B65" s="11"/>
      <c r="C65" s="11"/>
      <c r="D65" s="11"/>
      <c r="E65" s="11"/>
      <c r="F65" s="11">
        <v>0</v>
      </c>
      <c r="G65" s="11" t="s">
        <v>234</v>
      </c>
      <c r="H65" s="11">
        <v>1</v>
      </c>
      <c r="I65" s="11" t="s">
        <v>235</v>
      </c>
      <c r="J65" s="11" t="s">
        <v>48</v>
      </c>
      <c r="K65" s="11"/>
      <c r="L65" s="12">
        <v>699</v>
      </c>
      <c r="M65" s="11">
        <v>53</v>
      </c>
      <c r="N65" s="12">
        <v>325</v>
      </c>
      <c r="O65" s="11" t="str">
        <f t="shared" si="14"/>
        <v>A061404</v>
      </c>
      <c r="P65" s="11" t="s">
        <v>49</v>
      </c>
      <c r="Q65" s="11" t="s">
        <v>171</v>
      </c>
      <c r="R65" s="16"/>
      <c r="S65" s="13" t="s">
        <v>236</v>
      </c>
      <c r="T65" s="11" t="str">
        <f t="shared" si="15"/>
        <v>Compoundarmbrust CenterPoint Heat 425 ,Accueil,Outdoor plus,Armbrust,Compound,SSA,CENTERPOINT</v>
      </c>
      <c r="U65" s="11" t="s">
        <v>30</v>
      </c>
      <c r="V65" s="11" t="str">
        <f t="shared" si="16"/>
        <v>Compoundarmbrust CenterPoint Heat 425 ,Accueil,Outdoor plus,Armbrust,Compound,SSA,CENTERPOINT</v>
      </c>
      <c r="W65" s="11">
        <v>1</v>
      </c>
      <c r="X65" s="11">
        <v>1</v>
      </c>
      <c r="Y65" s="18" t="str">
        <f t="shared" si="6"/>
        <v>http://usfh.ch/img/Armbrust/A061404.jpg</v>
      </c>
      <c r="Z65" s="11" t="str">
        <f t="shared" si="17"/>
        <v>A061404</v>
      </c>
      <c r="AA65" s="14">
        <f t="shared" si="18"/>
        <v>0</v>
      </c>
      <c r="AB65" s="14">
        <f t="shared" si="19"/>
        <v>0</v>
      </c>
      <c r="AC65" s="11">
        <v>10</v>
      </c>
    </row>
    <row r="66" spans="1:29" s="15" customFormat="1" ht="15" customHeight="1" x14ac:dyDescent="0.2">
      <c r="A66" s="11">
        <v>65</v>
      </c>
      <c r="B66" s="11"/>
      <c r="C66" s="11"/>
      <c r="D66" s="11"/>
      <c r="E66" s="11"/>
      <c r="F66" s="11">
        <v>2</v>
      </c>
      <c r="G66" s="11" t="s">
        <v>237</v>
      </c>
      <c r="H66" s="11">
        <v>1</v>
      </c>
      <c r="I66" s="11" t="s">
        <v>238</v>
      </c>
      <c r="J66" s="11" t="s">
        <v>31</v>
      </c>
      <c r="K66" s="11"/>
      <c r="L66" s="12">
        <v>359</v>
      </c>
      <c r="M66" s="11">
        <v>53</v>
      </c>
      <c r="N66" s="12">
        <v>155</v>
      </c>
      <c r="O66" s="11" t="str">
        <f t="shared" si="14"/>
        <v>CR-121B</v>
      </c>
      <c r="P66" s="11" t="s">
        <v>97</v>
      </c>
      <c r="Q66" s="11" t="s">
        <v>97</v>
      </c>
      <c r="R66" s="16"/>
      <c r="S66" s="13" t="s">
        <v>239</v>
      </c>
      <c r="T66" s="11" t="str">
        <f t="shared" si="15"/>
        <v>Repetierarmbrust VLAD,Accueil,Outdoor plus,Armbrust,Recurve,EK Archery,EK Archery</v>
      </c>
      <c r="U66" s="11" t="s">
        <v>30</v>
      </c>
      <c r="V66" s="11" t="str">
        <f t="shared" si="16"/>
        <v>Repetierarmbrust VLAD,Accueil,Outdoor plus,Armbrust,Recurve,EK Archery,EK Archery</v>
      </c>
      <c r="W66" s="11">
        <v>1</v>
      </c>
      <c r="X66" s="11">
        <v>1</v>
      </c>
      <c r="Y66" s="18" t="str">
        <f t="shared" si="6"/>
        <v>http://usfh.ch/img/Armbrust/CR-121B.jpg</v>
      </c>
      <c r="Z66" s="11" t="str">
        <f t="shared" si="17"/>
        <v>CR-121B</v>
      </c>
      <c r="AA66" s="14">
        <f t="shared" si="18"/>
        <v>718</v>
      </c>
      <c r="AB66" s="14">
        <f t="shared" si="19"/>
        <v>310</v>
      </c>
      <c r="AC66" s="11">
        <v>10</v>
      </c>
    </row>
    <row r="67" spans="1:29" s="15" customFormat="1" ht="15" customHeight="1" x14ac:dyDescent="0.2">
      <c r="A67" s="11">
        <v>66</v>
      </c>
      <c r="B67" s="11"/>
      <c r="C67" s="11"/>
      <c r="D67" s="11"/>
      <c r="E67" s="11"/>
      <c r="F67" s="11">
        <v>1</v>
      </c>
      <c r="G67" s="11" t="s">
        <v>240</v>
      </c>
      <c r="H67" s="11">
        <v>1</v>
      </c>
      <c r="I67" s="11" t="s">
        <v>241</v>
      </c>
      <c r="J67" s="11" t="s">
        <v>31</v>
      </c>
      <c r="K67" s="11"/>
      <c r="L67" s="12">
        <v>959</v>
      </c>
      <c r="M67" s="11">
        <v>53</v>
      </c>
      <c r="N67" s="12">
        <v>479.4</v>
      </c>
      <c r="O67" s="11" t="str">
        <f t="shared" si="14"/>
        <v>A041257</v>
      </c>
      <c r="P67" s="11" t="s">
        <v>49</v>
      </c>
      <c r="Q67" s="11" t="s">
        <v>75</v>
      </c>
      <c r="R67" s="16"/>
      <c r="S67" s="13" t="s">
        <v>242</v>
      </c>
      <c r="T67" s="11" t="str">
        <f t="shared" si="15"/>
        <v>Excalibur Micro MAG 340,Accueil,Outdoor plus,Armbrust,Recurve,SSA,Excalibur</v>
      </c>
      <c r="U67" s="11" t="s">
        <v>30</v>
      </c>
      <c r="V67" s="11" t="str">
        <f t="shared" si="16"/>
        <v>Excalibur Micro MAG 340,Accueil,Outdoor plus,Armbrust,Recurve,SSA,Excalibur</v>
      </c>
      <c r="W67" s="11">
        <v>1</v>
      </c>
      <c r="X67" s="11">
        <v>1</v>
      </c>
      <c r="Y67" s="18" t="str">
        <f t="shared" ref="Y67:Y76" si="20" xml:space="preserve"> "http://usfh.ch/img/Armbrust/" &amp; G67 &amp; ".jpg"</f>
        <v>http://usfh.ch/img/Armbrust/A041257.jpg</v>
      </c>
      <c r="Z67" s="11" t="str">
        <f t="shared" si="17"/>
        <v>A041257</v>
      </c>
      <c r="AA67" s="14">
        <f t="shared" si="18"/>
        <v>959</v>
      </c>
      <c r="AB67" s="14">
        <f t="shared" si="19"/>
        <v>479.4</v>
      </c>
      <c r="AC67" s="11">
        <v>10</v>
      </c>
    </row>
    <row r="68" spans="1:29" s="15" customFormat="1" ht="15" customHeight="1" x14ac:dyDescent="0.2">
      <c r="A68" s="11">
        <v>67</v>
      </c>
      <c r="B68" s="11"/>
      <c r="C68" s="11"/>
      <c r="D68" s="11"/>
      <c r="E68" s="11"/>
      <c r="F68" s="11">
        <v>0</v>
      </c>
      <c r="G68" s="11" t="s">
        <v>243</v>
      </c>
      <c r="H68" s="11">
        <v>1</v>
      </c>
      <c r="I68" s="11" t="s">
        <v>244</v>
      </c>
      <c r="J68" s="11" t="s">
        <v>48</v>
      </c>
      <c r="K68" s="11"/>
      <c r="L68" s="12">
        <v>699</v>
      </c>
      <c r="M68" s="11">
        <v>53</v>
      </c>
      <c r="N68" s="12">
        <v>267.33</v>
      </c>
      <c r="O68" s="11" t="str">
        <f t="shared" si="14"/>
        <v>A055483</v>
      </c>
      <c r="P68" s="11" t="s">
        <v>49</v>
      </c>
      <c r="Q68" s="11" t="s">
        <v>171</v>
      </c>
      <c r="R68" s="16"/>
      <c r="S68" s="13" t="s">
        <v>245</v>
      </c>
      <c r="T68" s="11" t="str">
        <f t="shared" si="15"/>
        <v>CENTERPOINT ARMBRUST AMPED 425,Accueil,Outdoor plus,Armbrust,Compound,SSA,CENTERPOINT</v>
      </c>
      <c r="U68" s="11" t="s">
        <v>30</v>
      </c>
      <c r="V68" s="11" t="str">
        <f t="shared" si="16"/>
        <v>CENTERPOINT ARMBRUST AMPED 425,Accueil,Outdoor plus,Armbrust,Compound,SSA,CENTERPOINT</v>
      </c>
      <c r="W68" s="11">
        <v>1</v>
      </c>
      <c r="X68" s="11">
        <v>1</v>
      </c>
      <c r="Y68" s="18" t="str">
        <f t="shared" si="20"/>
        <v>http://usfh.ch/img/Armbrust/A055483.jpg</v>
      </c>
      <c r="Z68" s="11" t="str">
        <f t="shared" si="17"/>
        <v>A055483</v>
      </c>
      <c r="AA68" s="14">
        <f t="shared" si="18"/>
        <v>0</v>
      </c>
      <c r="AB68" s="14">
        <f t="shared" si="19"/>
        <v>0</v>
      </c>
      <c r="AC68" s="11">
        <v>10</v>
      </c>
    </row>
    <row r="69" spans="1:29" s="15" customFormat="1" ht="15" customHeight="1" x14ac:dyDescent="0.2">
      <c r="A69" s="11">
        <v>68</v>
      </c>
      <c r="B69" s="11"/>
      <c r="C69" s="11"/>
      <c r="D69" s="11"/>
      <c r="E69" s="11"/>
      <c r="F69" s="11">
        <v>0</v>
      </c>
      <c r="G69" s="11" t="s">
        <v>247</v>
      </c>
      <c r="H69" s="11">
        <v>1</v>
      </c>
      <c r="I69" s="11" t="s">
        <v>248</v>
      </c>
      <c r="J69" s="11" t="s">
        <v>48</v>
      </c>
      <c r="K69" s="11"/>
      <c r="L69" s="12">
        <v>649</v>
      </c>
      <c r="M69" s="11">
        <v>53</v>
      </c>
      <c r="N69" s="12">
        <v>407</v>
      </c>
      <c r="O69" s="11" t="str">
        <f t="shared" si="14"/>
        <v>A055484</v>
      </c>
      <c r="P69" s="11" t="s">
        <v>49</v>
      </c>
      <c r="Q69" s="11" t="s">
        <v>171</v>
      </c>
      <c r="R69" s="16"/>
      <c r="S69" s="13" t="s">
        <v>249</v>
      </c>
      <c r="T69" s="11" t="str">
        <f t="shared" si="15"/>
        <v>Center Point Dagger Armbrust 390 fps 185 lbs,Accueil,Outdoor plus,Armbrust,Compound,SSA,CENTERPOINT</v>
      </c>
      <c r="U69" s="11" t="s">
        <v>30</v>
      </c>
      <c r="V69" s="11" t="str">
        <f t="shared" si="16"/>
        <v>Center Point Dagger Armbrust 390 fps 185 lbs,Accueil,Outdoor plus,Armbrust,Compound,SSA,CENTERPOINT</v>
      </c>
      <c r="W69" s="11">
        <v>1</v>
      </c>
      <c r="X69" s="11">
        <v>1</v>
      </c>
      <c r="Y69" s="18" t="str">
        <f t="shared" si="20"/>
        <v>http://usfh.ch/img/Armbrust/A055484.jpg</v>
      </c>
      <c r="Z69" s="11" t="str">
        <f t="shared" si="17"/>
        <v>A055484</v>
      </c>
      <c r="AA69" s="14">
        <f t="shared" si="18"/>
        <v>0</v>
      </c>
      <c r="AB69" s="14">
        <f t="shared" si="19"/>
        <v>0</v>
      </c>
      <c r="AC69" s="11">
        <v>10</v>
      </c>
    </row>
    <row r="70" spans="1:29" s="15" customFormat="1" ht="15" customHeight="1" x14ac:dyDescent="0.2">
      <c r="A70" s="11">
        <v>69</v>
      </c>
      <c r="B70" s="11"/>
      <c r="C70" s="11"/>
      <c r="D70" s="11"/>
      <c r="E70" s="11"/>
      <c r="F70" s="11">
        <v>1</v>
      </c>
      <c r="G70" s="11" t="s">
        <v>250</v>
      </c>
      <c r="H70" s="11">
        <v>1</v>
      </c>
      <c r="I70" s="11" t="s">
        <v>252</v>
      </c>
      <c r="J70" s="11" t="s">
        <v>48</v>
      </c>
      <c r="K70" s="11"/>
      <c r="L70" s="12">
        <v>1390</v>
      </c>
      <c r="M70" s="11">
        <v>53</v>
      </c>
      <c r="N70" s="12">
        <v>638</v>
      </c>
      <c r="O70" s="11" t="str">
        <f t="shared" si="14"/>
        <v>A056003</v>
      </c>
      <c r="P70" s="11" t="s">
        <v>49</v>
      </c>
      <c r="Q70" s="11" t="s">
        <v>171</v>
      </c>
      <c r="R70" s="16"/>
      <c r="S70" s="13" t="s">
        <v>251</v>
      </c>
      <c r="T70" s="11" t="str">
        <f t="shared" si="15"/>
        <v>CENTERPOINT WRATH  430FPS mit Kurbelspannhilfe,Accueil,Outdoor plus,Armbrust,Compound,SSA,CENTERPOINT</v>
      </c>
      <c r="U70" s="11" t="s">
        <v>30</v>
      </c>
      <c r="V70" s="11" t="str">
        <f t="shared" si="16"/>
        <v>CENTERPOINT WRATH  430FPS mit Kurbelspannhilfe,Accueil,Outdoor plus,Armbrust,Compound,SSA,CENTERPOINT</v>
      </c>
      <c r="W70" s="11">
        <v>1</v>
      </c>
      <c r="X70" s="11">
        <v>1</v>
      </c>
      <c r="Y70" s="18" t="str">
        <f t="shared" si="20"/>
        <v>http://usfh.ch/img/Armbrust/A056003.jpg</v>
      </c>
      <c r="Z70" s="11" t="str">
        <f t="shared" si="17"/>
        <v>A056003</v>
      </c>
      <c r="AA70" s="14">
        <f t="shared" si="18"/>
        <v>1390</v>
      </c>
      <c r="AB70" s="14">
        <f t="shared" si="19"/>
        <v>638</v>
      </c>
      <c r="AC70" s="11">
        <v>10</v>
      </c>
    </row>
    <row r="71" spans="1:29" s="15" customFormat="1" ht="15" customHeight="1" x14ac:dyDescent="0.2">
      <c r="A71" s="11">
        <v>70</v>
      </c>
      <c r="B71" s="11"/>
      <c r="C71" s="11"/>
      <c r="D71" s="11"/>
      <c r="E71" s="11"/>
      <c r="F71" s="11">
        <v>1</v>
      </c>
      <c r="G71" s="11" t="s">
        <v>253</v>
      </c>
      <c r="H71" s="11">
        <v>1</v>
      </c>
      <c r="I71" s="11" t="s">
        <v>255</v>
      </c>
      <c r="J71" s="11" t="s">
        <v>31</v>
      </c>
      <c r="K71" s="11"/>
      <c r="L71" s="12">
        <v>449</v>
      </c>
      <c r="M71" s="11">
        <v>53</v>
      </c>
      <c r="N71" s="12">
        <v>183.28</v>
      </c>
      <c r="O71" s="11" t="str">
        <f t="shared" si="14"/>
        <v>A057205</v>
      </c>
      <c r="P71" s="11" t="s">
        <v>49</v>
      </c>
      <c r="Q71" s="11" t="s">
        <v>50</v>
      </c>
      <c r="R71" s="16"/>
      <c r="S71" s="13" t="s">
        <v>267</v>
      </c>
      <c r="T71" s="11" t="str">
        <f t="shared" si="15"/>
        <v>Barnett - Wildcat Recurve 260 fps 165 lbs Camo,Accueil,Outdoor plus,Armbrust,Recurve,SSA,Barnett</v>
      </c>
      <c r="U71" s="11" t="s">
        <v>30</v>
      </c>
      <c r="V71" s="11" t="str">
        <f t="shared" si="16"/>
        <v>Barnett - Wildcat Recurve 260 fps 165 lbs Camo,Accueil,Outdoor plus,Armbrust,Recurve,SSA,Barnett</v>
      </c>
      <c r="W71" s="11">
        <v>1</v>
      </c>
      <c r="X71" s="11">
        <v>1</v>
      </c>
      <c r="Y71" s="18" t="str">
        <f t="shared" si="20"/>
        <v>http://usfh.ch/img/Armbrust/A057205.jpg</v>
      </c>
      <c r="Z71" s="11" t="str">
        <f t="shared" si="17"/>
        <v>A057205</v>
      </c>
      <c r="AA71" s="14">
        <f t="shared" si="18"/>
        <v>449</v>
      </c>
      <c r="AB71" s="14">
        <f t="shared" si="19"/>
        <v>183.28</v>
      </c>
      <c r="AC71" s="11">
        <v>10</v>
      </c>
    </row>
    <row r="72" spans="1:29" s="15" customFormat="1" ht="15" customHeight="1" x14ac:dyDescent="0.2">
      <c r="A72" s="11">
        <v>71</v>
      </c>
      <c r="B72" s="11"/>
      <c r="C72" s="11"/>
      <c r="D72" s="11"/>
      <c r="E72" s="11"/>
      <c r="F72" s="11">
        <v>1</v>
      </c>
      <c r="G72" s="11" t="s">
        <v>254</v>
      </c>
      <c r="H72" s="11">
        <v>1</v>
      </c>
      <c r="I72" s="11" t="s">
        <v>256</v>
      </c>
      <c r="J72" s="11" t="s">
        <v>48</v>
      </c>
      <c r="K72" s="11"/>
      <c r="L72" s="12">
        <v>999</v>
      </c>
      <c r="M72" s="11">
        <v>53</v>
      </c>
      <c r="N72" s="12">
        <v>336.06</v>
      </c>
      <c r="O72" s="11" t="str">
        <f t="shared" si="14"/>
        <v>A062225</v>
      </c>
      <c r="P72" s="11" t="s">
        <v>49</v>
      </c>
      <c r="Q72" s="11" t="s">
        <v>50</v>
      </c>
      <c r="R72" s="16"/>
      <c r="S72" s="13" t="s">
        <v>257</v>
      </c>
      <c r="T72" s="11" t="str">
        <f t="shared" si="15"/>
        <v>Barnett - Hyper XP 405 Camo 213 lbs,Accueil,Outdoor plus,Armbrust,Compound,SSA,Barnett</v>
      </c>
      <c r="U72" s="11" t="s">
        <v>30</v>
      </c>
      <c r="V72" s="11" t="str">
        <f t="shared" si="16"/>
        <v>Barnett - Hyper XP 405 Camo 213 lbs,Accueil,Outdoor plus,Armbrust,Compound,SSA,Barnett</v>
      </c>
      <c r="W72" s="11">
        <v>1</v>
      </c>
      <c r="X72" s="11">
        <v>1</v>
      </c>
      <c r="Y72" s="18" t="str">
        <f t="shared" si="20"/>
        <v>http://usfh.ch/img/Armbrust/A062225.jpg</v>
      </c>
      <c r="Z72" s="11" t="str">
        <f t="shared" si="17"/>
        <v>A062225</v>
      </c>
      <c r="AA72" s="14">
        <f t="shared" si="18"/>
        <v>999</v>
      </c>
      <c r="AB72" s="14">
        <f t="shared" si="19"/>
        <v>336.06</v>
      </c>
      <c r="AC72" s="11">
        <v>10</v>
      </c>
    </row>
    <row r="73" spans="1:29" s="15" customFormat="1" ht="15" customHeight="1" x14ac:dyDescent="0.2">
      <c r="A73" s="11">
        <v>72</v>
      </c>
      <c r="B73" s="11"/>
      <c r="C73" s="11"/>
      <c r="D73" s="11"/>
      <c r="E73" s="11"/>
      <c r="F73" s="11">
        <v>3</v>
      </c>
      <c r="G73" s="11" t="s">
        <v>258</v>
      </c>
      <c r="H73" s="11">
        <v>1</v>
      </c>
      <c r="I73" s="11" t="s">
        <v>260</v>
      </c>
      <c r="J73" s="11" t="s">
        <v>31</v>
      </c>
      <c r="K73" s="11"/>
      <c r="L73" s="12">
        <v>490</v>
      </c>
      <c r="M73" s="11">
        <v>53</v>
      </c>
      <c r="N73" s="12">
        <v>235</v>
      </c>
      <c r="O73" s="11" t="str">
        <f t="shared" si="14"/>
        <v>CR-122B</v>
      </c>
      <c r="P73" s="11" t="s">
        <v>35</v>
      </c>
      <c r="Q73" s="11" t="s">
        <v>35</v>
      </c>
      <c r="R73" s="16"/>
      <c r="S73" s="13" t="s">
        <v>259</v>
      </c>
      <c r="T73" s="11" t="str">
        <f t="shared" si="15"/>
        <v>EK Archery REVO 7,Accueil,Outdoor plus,Armbrust,Recurve,Ek Archery,Ek Archery</v>
      </c>
      <c r="U73" s="11" t="s">
        <v>30</v>
      </c>
      <c r="V73" s="11" t="str">
        <f t="shared" si="16"/>
        <v>EK Archery REVO 7,Accueil,Outdoor plus,Armbrust,Recurve,Ek Archery,Ek Archery</v>
      </c>
      <c r="W73" s="11">
        <v>1</v>
      </c>
      <c r="X73" s="11">
        <v>1</v>
      </c>
      <c r="Y73" s="18" t="str">
        <f t="shared" si="20"/>
        <v>http://usfh.ch/img/Armbrust/CR-122B.jpg</v>
      </c>
      <c r="Z73" s="11" t="str">
        <f t="shared" si="17"/>
        <v>CR-122B</v>
      </c>
      <c r="AA73" s="14">
        <f t="shared" si="18"/>
        <v>1470</v>
      </c>
      <c r="AB73" s="14">
        <f t="shared" si="19"/>
        <v>705</v>
      </c>
      <c r="AC73" s="11">
        <v>10</v>
      </c>
    </row>
    <row r="74" spans="1:29" s="15" customFormat="1" ht="15" customHeight="1" x14ac:dyDescent="0.2">
      <c r="A74" s="11">
        <v>73</v>
      </c>
      <c r="B74" s="11"/>
      <c r="C74" s="11"/>
      <c r="D74" s="11"/>
      <c r="E74" s="11"/>
      <c r="F74" s="11">
        <v>2</v>
      </c>
      <c r="G74" s="11" t="s">
        <v>261</v>
      </c>
      <c r="H74" s="11">
        <v>1</v>
      </c>
      <c r="I74" s="11" t="s">
        <v>262</v>
      </c>
      <c r="J74" s="11" t="s">
        <v>31</v>
      </c>
      <c r="K74" s="11"/>
      <c r="L74" s="12">
        <v>459</v>
      </c>
      <c r="M74" s="11">
        <v>53</v>
      </c>
      <c r="N74" s="12">
        <v>175.62</v>
      </c>
      <c r="O74" s="11" t="str">
        <f t="shared" ref="O74" si="21">G74</f>
        <v>CR-097AD130A</v>
      </c>
      <c r="P74" s="11" t="s">
        <v>35</v>
      </c>
      <c r="Q74" s="11" t="s">
        <v>35</v>
      </c>
      <c r="R74" s="16"/>
      <c r="S74" s="13" t="s">
        <v>263</v>
      </c>
      <c r="T74" s="11" t="str">
        <f t="shared" si="15"/>
        <v>EK Archery Cobra System Adder (7-Schuss) Pistolenarmbrust,Accueil,Outdoor plus,Armbrust,Recurve,Ek Archery,Ek Archery</v>
      </c>
      <c r="U74" s="11" t="s">
        <v>30</v>
      </c>
      <c r="V74" s="11" t="str">
        <f t="shared" ref="V74" si="22">T74</f>
        <v>EK Archery Cobra System Adder (7-Schuss) Pistolenarmbrust,Accueil,Outdoor plus,Armbrust,Recurve,Ek Archery,Ek Archery</v>
      </c>
      <c r="W74" s="11">
        <v>1</v>
      </c>
      <c r="X74" s="11">
        <v>1</v>
      </c>
      <c r="Y74" s="18" t="str">
        <f t="shared" si="20"/>
        <v>http://usfh.ch/img/Armbrust/CR-097AD130A.jpg</v>
      </c>
      <c r="Z74" s="11" t="str">
        <f t="shared" ref="Z74" si="23">G74</f>
        <v>CR-097AD130A</v>
      </c>
      <c r="AA74" s="14">
        <f t="shared" ref="AA74" si="24">F74*L74</f>
        <v>918</v>
      </c>
      <c r="AB74" s="14">
        <f t="shared" ref="AB74" si="25">F74*N74</f>
        <v>351.24</v>
      </c>
      <c r="AC74" s="11">
        <v>10</v>
      </c>
    </row>
    <row r="75" spans="1:29" s="15" customFormat="1" ht="15" customHeight="1" x14ac:dyDescent="0.2">
      <c r="A75" s="11">
        <v>74</v>
      </c>
      <c r="B75" s="11"/>
      <c r="C75" s="11"/>
      <c r="D75" s="11"/>
      <c r="E75" s="11"/>
      <c r="F75" s="11">
        <v>1</v>
      </c>
      <c r="G75" s="11" t="s">
        <v>264</v>
      </c>
      <c r="H75" s="11">
        <v>1</v>
      </c>
      <c r="I75" s="11" t="s">
        <v>265</v>
      </c>
      <c r="J75" s="11" t="s">
        <v>48</v>
      </c>
      <c r="K75" s="11"/>
      <c r="L75" s="12">
        <v>999</v>
      </c>
      <c r="M75" s="11">
        <v>53</v>
      </c>
      <c r="N75" s="12">
        <v>455.63</v>
      </c>
      <c r="O75" s="11" t="str">
        <f t="shared" ref="O75" si="26">G75</f>
        <v>A093290</v>
      </c>
      <c r="P75" s="11" t="s">
        <v>49</v>
      </c>
      <c r="Q75" s="11" t="s">
        <v>175</v>
      </c>
      <c r="R75" s="16"/>
      <c r="S75" s="13" t="s">
        <v>266</v>
      </c>
      <c r="T75" s="11" t="str">
        <f t="shared" si="15"/>
        <v>KILLER INSTINCT LOGIX DC 435 COMPOUND CROSSBOW PACKAGE,Accueil,Outdoor plus,Armbrust,Compound,SSA,KILLER INSTINCT</v>
      </c>
      <c r="U75" s="11" t="s">
        <v>30</v>
      </c>
      <c r="V75" s="11" t="str">
        <f t="shared" ref="V75" si="27">T75</f>
        <v>KILLER INSTINCT LOGIX DC 435 COMPOUND CROSSBOW PACKAGE,Accueil,Outdoor plus,Armbrust,Compound,SSA,KILLER INSTINCT</v>
      </c>
      <c r="W75" s="11">
        <v>1</v>
      </c>
      <c r="X75" s="11">
        <v>1</v>
      </c>
      <c r="Y75" s="18" t="str">
        <f t="shared" si="20"/>
        <v>http://usfh.ch/img/Armbrust/A093290.jpg</v>
      </c>
      <c r="Z75" s="11" t="str">
        <f t="shared" ref="Z75" si="28">G75</f>
        <v>A093290</v>
      </c>
      <c r="AA75" s="14">
        <f t="shared" ref="AA75" si="29">F75*L75</f>
        <v>999</v>
      </c>
      <c r="AB75" s="14">
        <f t="shared" ref="AB75" si="30">F75*N75</f>
        <v>455.63</v>
      </c>
      <c r="AC75" s="11">
        <v>10</v>
      </c>
    </row>
    <row r="76" spans="1:29" s="15" customFormat="1" ht="15" customHeight="1" x14ac:dyDescent="0.2">
      <c r="A76" s="11">
        <v>75</v>
      </c>
      <c r="B76" s="11"/>
      <c r="C76" s="11"/>
      <c r="D76" s="11"/>
      <c r="E76" s="11"/>
      <c r="F76" s="11">
        <v>1</v>
      </c>
      <c r="G76" s="11" t="s">
        <v>268</v>
      </c>
      <c r="H76" s="11">
        <v>1</v>
      </c>
      <c r="I76" s="11" t="s">
        <v>269</v>
      </c>
      <c r="J76" s="11" t="s">
        <v>48</v>
      </c>
      <c r="K76" s="11"/>
      <c r="L76" s="12">
        <v>699</v>
      </c>
      <c r="M76" s="11">
        <v>53</v>
      </c>
      <c r="N76" s="12">
        <v>215.71</v>
      </c>
      <c r="O76" s="11" t="str">
        <f t="shared" ref="O76" si="31">G76</f>
        <v>CR-102BP</v>
      </c>
      <c r="P76" s="11" t="s">
        <v>35</v>
      </c>
      <c r="Q76" s="11" t="s">
        <v>35</v>
      </c>
      <c r="R76" s="16"/>
      <c r="S76" s="13" t="s">
        <v>270</v>
      </c>
      <c r="T76" s="11" t="str">
        <f t="shared" si="15"/>
        <v>EK Archery Vulcan 415,Accueil,Outdoor plus,Armbrust,Compound,Ek Archery,Ek Archery</v>
      </c>
      <c r="U76" s="11" t="s">
        <v>30</v>
      </c>
      <c r="V76" s="11" t="str">
        <f t="shared" ref="V76" si="32">T76</f>
        <v>EK Archery Vulcan 415,Accueil,Outdoor plus,Armbrust,Compound,Ek Archery,Ek Archery</v>
      </c>
      <c r="W76" s="11">
        <v>1</v>
      </c>
      <c r="X76" s="11">
        <v>1</v>
      </c>
      <c r="Y76" s="18" t="str">
        <f t="shared" si="20"/>
        <v>http://usfh.ch/img/Armbrust/CR-102BP.jpg</v>
      </c>
      <c r="Z76" s="11" t="str">
        <f t="shared" ref="Z76" si="33">G76</f>
        <v>CR-102BP</v>
      </c>
      <c r="AA76" s="14">
        <f t="shared" ref="AA76" si="34">F76*L76</f>
        <v>699</v>
      </c>
      <c r="AB76" s="14">
        <f t="shared" ref="AB76" si="35">F76*N76</f>
        <v>215.71</v>
      </c>
      <c r="AC76" s="11">
        <v>10</v>
      </c>
    </row>
    <row r="77" spans="1:29" ht="15" customHeight="1" x14ac:dyDescent="0.2"/>
    <row r="82" spans="9:10" x14ac:dyDescent="0.2">
      <c r="I82" s="5" t="s">
        <v>27</v>
      </c>
      <c r="J82" s="5" t="s">
        <v>28</v>
      </c>
    </row>
    <row r="83" spans="9:10" ht="12" thickBot="1" x14ac:dyDescent="0.25">
      <c r="I83" s="8">
        <f>SUM(AA2:AA76)</f>
        <v>23772</v>
      </c>
      <c r="J83" s="8">
        <f>SUM(AB2:AB76)</f>
        <v>10597.169999999998</v>
      </c>
    </row>
    <row r="84" spans="9:10" ht="12" thickTop="1" x14ac:dyDescent="0.2"/>
  </sheetData>
  <sortState xmlns:xlrd2="http://schemas.microsoft.com/office/spreadsheetml/2017/richdata2" ref="A2:AB85">
    <sortCondition ref="A40:A85"/>
  </sortState>
  <phoneticPr fontId="3" type="noConversion"/>
  <pageMargins left="0.7" right="0.7" top="0.78740157499999996" bottom="0.78740157499999996"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Armbrust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2026-04-25T11:04:24Z</dcterms:modified>
</cp:coreProperties>
</file>