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K:\Privat\US_FH\web_shop\Neuer shop\security\"/>
    </mc:Choice>
  </mc:AlternateContent>
  <xr:revisionPtr revIDLastSave="0" documentId="13_ncr:1_{26A4A9D8-7BDA-4FF4-918C-F527E9203E04}" xr6:coauthVersionLast="47" xr6:coauthVersionMax="47" xr10:uidLastSave="{00000000-0000-0000-0000-000000000000}"/>
  <bookViews>
    <workbookView xWindow="-120" yWindow="-120" windowWidth="29040" windowHeight="15720" tabRatio="884" xr2:uid="{5C413A35-37CD-4FC7-9B0F-E46798A10454}"/>
  </bookViews>
  <sheets>
    <sheet name="Security"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6" l="1"/>
  <c r="Y4" i="6"/>
  <c r="Y5" i="6"/>
  <c r="Y6" i="6"/>
  <c r="Y7" i="6"/>
  <c r="Y8" i="6"/>
  <c r="Y9" i="6"/>
  <c r="Y10" i="6"/>
  <c r="Y11" i="6"/>
  <c r="Y12" i="6"/>
  <c r="Y13" i="6"/>
  <c r="Y2" i="6"/>
  <c r="AB13" i="6" l="1"/>
  <c r="AA13" i="6"/>
  <c r="Z13" i="6"/>
  <c r="U13" i="6"/>
  <c r="T13" i="6"/>
  <c r="V13" i="6" s="1"/>
  <c r="O13" i="6"/>
  <c r="AB12" i="6"/>
  <c r="AA12" i="6"/>
  <c r="Z12" i="6"/>
  <c r="U12" i="6"/>
  <c r="T12" i="6"/>
  <c r="V12" i="6" s="1"/>
  <c r="O12" i="6"/>
  <c r="AB11" i="6"/>
  <c r="AA11" i="6"/>
  <c r="Z11" i="6"/>
  <c r="U11" i="6"/>
  <c r="T11" i="6"/>
  <c r="V11" i="6" s="1"/>
  <c r="O11" i="6"/>
  <c r="AB10" i="6"/>
  <c r="AA10" i="6"/>
  <c r="Z10" i="6"/>
  <c r="U10" i="6"/>
  <c r="T10" i="6"/>
  <c r="V10" i="6" s="1"/>
  <c r="O10" i="6"/>
  <c r="AB9" i="6"/>
  <c r="AA9" i="6"/>
  <c r="Z9" i="6"/>
  <c r="U9" i="6"/>
  <c r="T9" i="6"/>
  <c r="V9" i="6" s="1"/>
  <c r="O9" i="6"/>
  <c r="AB8" i="6"/>
  <c r="AA8" i="6"/>
  <c r="Z8" i="6"/>
  <c r="U8" i="6"/>
  <c r="T8" i="6"/>
  <c r="V8" i="6" s="1"/>
  <c r="O8" i="6"/>
  <c r="AB7" i="6"/>
  <c r="AA7" i="6"/>
  <c r="Z7" i="6"/>
  <c r="U7" i="6"/>
  <c r="T7" i="6"/>
  <c r="V7" i="6" s="1"/>
  <c r="O7" i="6"/>
  <c r="AB6" i="6"/>
  <c r="AA6" i="6"/>
  <c r="Z6" i="6"/>
  <c r="U6" i="6"/>
  <c r="T6" i="6"/>
  <c r="V6" i="6" s="1"/>
  <c r="O6" i="6"/>
  <c r="AB5" i="6"/>
  <c r="AA5" i="6"/>
  <c r="Z5" i="6"/>
  <c r="U5" i="6"/>
  <c r="T5" i="6"/>
  <c r="V5" i="6" s="1"/>
  <c r="O5" i="6"/>
  <c r="AB4" i="6"/>
  <c r="AA4" i="6"/>
  <c r="Z4" i="6"/>
  <c r="U4" i="6"/>
  <c r="T4" i="6"/>
  <c r="V4" i="6" s="1"/>
  <c r="O4" i="6"/>
  <c r="AB3" i="6"/>
  <c r="AA3" i="6"/>
  <c r="Z3" i="6"/>
  <c r="U3" i="6"/>
  <c r="T3" i="6"/>
  <c r="V3" i="6" s="1"/>
  <c r="O3" i="6"/>
  <c r="AB2" i="6"/>
  <c r="AA2" i="6"/>
  <c r="Z2" i="6"/>
  <c r="U2" i="6"/>
  <c r="T2" i="6"/>
  <c r="V2" i="6" s="1"/>
  <c r="O2" i="6"/>
  <c r="M23" i="6" l="1"/>
  <c r="N23" i="6"/>
  <c r="AA15" i="6"/>
</calcChain>
</file>

<file path=xl/sharedStrings.xml><?xml version="1.0" encoding="utf-8"?>
<sst xmlns="http://schemas.openxmlformats.org/spreadsheetml/2006/main" count="96" uniqueCount="64">
  <si>
    <t>IG</t>
  </si>
  <si>
    <t>BS</t>
  </si>
  <si>
    <t>PÄ</t>
  </si>
  <si>
    <t>GÜ</t>
  </si>
  <si>
    <t>ID</t>
  </si>
  <si>
    <t>Aktiv (0/1)</t>
  </si>
  <si>
    <t>Name</t>
  </si>
  <si>
    <t>Kategorien (x, y, z. ..)</t>
  </si>
  <si>
    <t>Preis zzgl. MwSt.</t>
  </si>
  <si>
    <t>Preis inkl. MwSt.</t>
  </si>
  <si>
    <t>ID Steuersatz</t>
  </si>
  <si>
    <t>Einkaufspreis</t>
  </si>
  <si>
    <t>Artikel-Nr.</t>
  </si>
  <si>
    <t>Lieferant</t>
  </si>
  <si>
    <t>Hersteller</t>
  </si>
  <si>
    <t>EAN 13</t>
  </si>
  <si>
    <t>Beschreibung</t>
  </si>
  <si>
    <t>Stichwörter</t>
  </si>
  <si>
    <t>Meta-Title</t>
  </si>
  <si>
    <t>Meta-Suchworte</t>
  </si>
  <si>
    <t>Bestellbar (0/1)</t>
  </si>
  <si>
    <t>Preis anzeigen (0/1)</t>
  </si>
  <si>
    <t>URLs der Bilder</t>
  </si>
  <si>
    <t>RewriteLink</t>
  </si>
  <si>
    <t>tot. VK</t>
  </si>
  <si>
    <t>tot. EK</t>
  </si>
  <si>
    <t>Böker</t>
  </si>
  <si>
    <t>Haller</t>
  </si>
  <si>
    <t>Coldsteel</t>
  </si>
  <si>
    <t>Blackfield</t>
  </si>
  <si>
    <t>Lagerbestand</t>
  </si>
  <si>
    <t>Accueil,Outdoor plus,Security</t>
  </si>
  <si>
    <t>Leichter Einsatzhandschuh Größe XXL</t>
  </si>
  <si>
    <t xml:space="preserve"> Handinnenfläche aus Struktur-Leder
• Handrücken mit Neopren-Knöchelschutz und Netzeinlage
• Schnitthemmendes Dyneema-Futter (Level 5)</t>
  </si>
  <si>
    <t>Leichter Einsatzhandschuh Größe XL</t>
  </si>
  <si>
    <t>Leichter Einsatzhandschuh Größe L</t>
  </si>
  <si>
    <t>Handinnenfläche aus Struktur-Leder
• Handrücken mit Neopren-Knöchelschutz und Netzeinlage
• Schnitthemmendes Dyneema-Futter (Level 5)</t>
  </si>
  <si>
    <t>CST-92BST</t>
  </si>
  <si>
    <t>Baseballschläger Brooklyn Shorty</t>
  </si>
  <si>
    <t xml:space="preserve">Brooklyn Shorty, Baseballschläger
Der Brooklyn Shorty ist wahrscheinlich der stabilste und widerstandsfähigste Mini-Schläger der Welt.
Dieser kleine, tragbare Schläger im Reiseformat ist ein perfektes Andenken oder Sammlerstück. Bei seiner Herstellung wurden dieselben hohen Standards wie bei seinen größeren Brüdern eingehalten. 
Dieses strapazierfähige, langlebige Erinnerungsstück aus dem Hause Cold Steel ist aus Hochleistungs-Polypropylen spritzgegossen und somit nahezu unverwüstlich. Es wird ein Leben lang halten.
Details: 
- Material: schlagfestes Polypropylen 
- Gesamtlänge: ca. 50,8 cm 
- Gewicht: ca. 561 g 
- Stärke am Griff: ca. 2,5cm 
- Stärke an der Spitze: ca. 4,8 cm </t>
  </si>
  <si>
    <t>CST-92BSBZ</t>
  </si>
  <si>
    <t>Baseballschläger Brooklyn Basher</t>
  </si>
  <si>
    <t xml:space="preserve">Brooklyn Basher, Baseballschläger
Seit ihrer Einführung 2006 erfreuen sich die Baseballschläger der Brooklyn-Serie von Cold Steel großer Beliebtheit.
Diese Schläger sind in Präzisionsarbeit aus dem strapazierfähigsten Polypropylen spritzgegossen und können somit nicht zerbrechen. Da sie aus Polymer anstatt Holz oder Aluminium bestehen, sind sie nicht nur robuster als traditionelle Schläger, sondern auch langlebiger. Die Brooklyn-Baseballschläger werden weder verrotten, noch reißen, absplittern oder ausbleichen. Und Schmutz- oder Wettereinwirkungen brauchst Du nicht befürchten, da sie witterungsbeständig und mit Seife und Wasser leicht zu reinigen sind.
Sie sind auch sehr vielseitig! Sie können als reguläre Spielschläger, als Aufwärm- bzw. Trainingsschläger, als Leihschläger oder auch beim Schulsport benutzt werden. Für die Kampfsportler unter Euch können sie weiterhin als übergreifend einsetzbare Trainingshilfen dienen, um Kraft, Agilität und Auge-Hand-Koordination auszubauen. 
Den richtigen Schläger findest Du hier, sei es den Mini-Schläger für Sammler (Brooklyn Shorty), den großartigen, überdimensionierten Schläger (Brooklyn Whopper), oder alle weiteren Modelle dazwischen.
Sie sind erschwinglich, vielseitig, praktisch und so gut wie unverwüstlich. Es gibt also wirklich keine Ausrede mehr, keinen Cold Steel Brooklyn-Schläger zu besitzen!
Details für den Brooklyn Basher: 
- Gesamtlänge: ca. 61 cm 
- Gewicht: ca. 782 g 
- Stärke am Griff: ca. 2,5 cm 
- Stärke an der Spitze: ca. 5,4 cm </t>
  </si>
  <si>
    <t>CST-92BS</t>
  </si>
  <si>
    <t>Baseballschläger Brooklyn Smasher</t>
  </si>
  <si>
    <t xml:space="preserve">Brooklyn Smasher, Baseballschläger
Als der Cold Steel Präsident Lynn C. Thompson über einen Zeitungsartikel stolperte, in dem geschildert wurde, wie oft in der amerikanischen Baseball-Oberliga Schläger zerbrechen und Spieler beinah verletzt werden, war seine Neugier geweckt. Dieser Artikel berichtete von der Debatte, ob die leichteren, leicht biegsamen Schläger aus Eschenholz oder die schwereren, härteren Schläger aus Ahorn die besseren sind. Lynn erkannte da eine Marktlücke für einen Baseballschläger, der einfach unzerstörbar ist. 
Als erster Vorstoß in die Welt der Sportausrüstung präsentiert Cold Steel jetzt den Brooklyn Smasher® und den Brooklyn Crusher™.
Diese Schläger sind in Präzisionsarbeit aus hochbeanspruchbarem Polypropylen spritzgegossen. Somit können sie nicht zerbrechen und sind sehr langlebig. Sie werden weder verrotten, noch reißen, absplittern oder ausbleichen. Schmutz- oder Wettereinwirkungen brauchst Du nicht befürchten, da sie witterungsbeständig sind und mit Seife und Wasser gereinigt werden können. 
Sie sind auch sehr vielseitig. Sie können zum Aufwärmen, zum Trainieren oder zum Spielen bei schlechtem Wetter benutzt werden. Für die Kampfsportler unter Euch können sie auch beim Säbelfechten, Kendo, Kenjutsu, philippinischen Stock- und Schwertkampf oder bei den Chinesischen Kampfkünsten als übergreifend einsetzbare Trainingshilfen dienen, um Kraft, Agilität und Auge-Hand-Koordination auszubauen. 
Und das Beste daran ist, dass sie durchaus wirtschaftlich sind. Sie sind zwar preislich mit guten Holzschlägern vergleichbar, aber da sie praktisch unverwüstlich sind, werden sie weitaus länger halten als jeglicher Holzschläger im Handel. 
Der Brooklyn Smasher und der Brooklyn Crusher unterscheiden sich nur in Gewicht und Länge.
Details für den Brooklyn Smasher: 
- Material: schlagfestes Polypropylen 
- Gesamtlänge: ca. 86,4 cm 
- Gewicht: ca. 1105 g 
- Stärke am Griff: ca. 2,9 cm 
- Stärke an der Spitze: ca. 5,6 cm </t>
  </si>
  <si>
    <t>CST-92BSL</t>
  </si>
  <si>
    <t>Baseballschläger Brooklyn Whopper</t>
  </si>
  <si>
    <t xml:space="preserve">Brooklyn Whopper, Baseballschläger
Der Brooklyn Whopper ist der größte Schläger, den Cold Steel je produziert hat. Mit seinen 96 cm erreicht der Whopper die für die amerikanische Major League maximal zulässige Größe und ist mit ca. 1,4 kg ein absolutes Monster! 
Dieser massive, übergroße Baseballschläger ist optimal für Kraft- und Konditionstraining, zum Aufwärmen, oder um Deinen Swing zu verbessern. 
Seit ihrer Einführung 2006 erfreuen sich die Baseballschläger der Brooklyn-Serie von Cold Steel großer Beliebtheit.
Diese Schläger sind in Präzisionsarbeit aus dem strapazierfähigsten Polypropylen spritzgegossen und können somit nicht zerbrechen. Da sie aus Polymer anstatt Holz oder Aluminium bestehen, sind sie nicht nur robuster als traditionelle Schläger, sondern auch langlebiger. Die Brooklyn-Baseballschläger werden weder verrotten, noch reißen, absplittern oder ausbleichen. Und Schmutz- oder Wettereinwirkungen brauchst Du nicht befürchten, da sie witterungsbeständig und mit Seife und Wasser leicht zu reinigen sind.
Sie sind auch sehr vielseitig! Sie können als reguläre Spielschläger, als Aufwärm- bzw. Trainingsschläger, als Leihschläger oder auch beim Schulsport benutzt werden. Für die Kampfsportler unter Euch können sie weiterhin als übergreifend einsetzbare Trainingshilfen dienen, um Kraft, Agilität und Auge-Hand-Koordination auszubauen. 
Den richtigen Schläger findest Du hier, sei es den Mini-Schläger für Sammler (Brooklyn Shorty), den großartigen, überdimensionierten Schläger (Brooklyn Whopper), oder alle weiteren Modelle dazwischen.
Sie sind erschwinglich, vielseitig, praktisch und so gut wie unverwüstlich. Es gibt also wirklich keine Ausrede mehr, keinen Cold Steel Brooklyn-Schläger zu besitzen!
Details für den Brooklyn Whopper: 
- Material: schlagfestes Polypropylen 
- Gesamtlänge: ca. 96,5 cm 
- Gewicht: ca. 1369 g 
- Stärke am Griff: ca. 2,9 cm 
- Stärke an der Spitze: ca. 6,4 cm </t>
  </si>
  <si>
    <t>CST-92BSS</t>
  </si>
  <si>
    <t>Baseballschläger Brooklyn Crusher</t>
  </si>
  <si>
    <t xml:space="preserve">Brooklyn Crusher, Baseballschläger
Als der Cold Steel Präsident Lynn C. Thompson über einen Zeitungsartikel stolperte, in dem geschildert wurde, wie oft in der amerikanischen Baseball-Oberliga Schläger zerbrechen und Spieler beinah verletzt werden, war seine Neugier geweckt. Dieser Artikel berichtete von der Debatte, ob die leichteren, leicht biegsamen Schläger aus Eschenholz oder die schwereren, härteren Schläger aus Ahorn die besseren sind. Lynn erkannte da eine Marktlücke für einen Baseballschläger, der einfach unzerstörbar ist. 
Als erster Vorstoß in die Welt der Sportausrüstung präsentiert Cold Steel jetzt den Brooklyn Smasher® und den Brooklyn Crusher™.
Diese Schläger sind in Präzisionsarbeit aus hochbeanspruchbarem Polypropylen spritzgegossen. Somit können sie nicht zerbrechen und sind sehr langlebig. Sie werden weder verrotten, noch reißen, absplittern oder ausbleichen. Schmutz- oder Wettereinwirkungen brauchst Du nicht befürchten, da sie witterungsbeständig sind und mit Seife und Wasser gereinigt werden können. 
Sie sind auch sehr vielseitig. Sie können zum Aufwärmen, zum Trainieren oder zum Spielen bei schlechtem Wetter benutzt werden. Für die Kampfsportler unter Euch können sie auch beim Säbelfechten, Kendo, Kenjutsu, philippinischen Stock- und Schwertkampf oder bei den Chinesischen Kampfkünsten als übergreifend einsetzbare Trainingshilfen dienen, um Kraft, Agilität und Auge-Hand-Koordination auszubauen. 
Und das Beste daran ist, dass sie durchaus wirtschaftlich sind. Sie sind zwar preislich mit guten Holzschlägern vergleichbar, aber da sie praktisch unverwüstlich sind, werden sie weitaus länger halten als jeglicher Holzschläger im Handel. 
Der Brooklyn Smasher und der Brooklyn Crusher unterscheiden sich nur in Gewicht und Länge.
Details für den Brooklyn Crusher: 
- Material: schlagfestes Polypropylen 
- Gesamtlänge: ca. 73,7 cm 
- Gewicht: ca. 935 g 
- Stärke am Griff: ca. 3,8 cm 
- Stärke an der Spitze: ca. 5,7 cm </t>
  </si>
  <si>
    <t>CST-92BSW</t>
  </si>
  <si>
    <t>Baseballschläger Brooklyn Slammer</t>
  </si>
  <si>
    <t>Brooklyn Slammer, Baseballschläger
Seit ihrer Einführung 2006 erfreuen sich Cold Steels® Baseballschläger der Brooklyn-Serie großer Beliebtheit! Diese unfassbar zähen Schläger sind in Präzisionsarbeit aus hochbeanspruchbarem Polypropylen spritzgegossen und sind nicht nur robuster als die meisten traditionellen Schläger, sondern auch langlebiger!
Sie werden weder verrotten, noch reißen, absplittern oder ausbleichen! Schmutzeinwirkungen brauchst Du auch nicht befürchten, da die Schläger witterungsbeständig sind und sich mit nichts anderem als Seife und Wasser reinigen lassen. Sie sind für Schulsport- und Ligaspiele gleichermaßen ideal und können als reguläre Spielschläger oder als Aufwärm- bzw. Trainingsschläger benutzt werden. Für die Kampfsportler unter Euch können sie sogar als übergreifend einsetzbare Trainingshilfen dienen, um Kraft und Auge-Hand-Koordination auszubauen. Den richtigen Schläger findest Du hier, sei es den Mini-Schläger für Sammler (Brooklyn Shorty), den großartigen, überdimensionalen Schläger (Brooklyn Whopper), oder alle weiteren Modelle dazwischen.
Der Brooklyn Slammer wiegt genauso viel wie ein Schläger der Standardgröße, ist aber etwa um die Hälfte kürzer, was ihm im Cold Steel®-Team den liebevollen Spitznamen 'Half Bat' eingebracht hat. Er benötigt zwar weniger Platz beim Transport, ist aber groß und schwer genug, um den Ball einhändig 'aus dem Park' zu hauen!
Details
- Brooklyn Slammer
- Material: schlagfestes Polypropylen
- Gesamtlänge: ca. 48,3 cm
- Gewicht: ca. 865 g
- Stärke am Griff: ca. 2,5 cm
- Stärke an der Spitze: ca. 6,4 cm</t>
  </si>
  <si>
    <t>129943SH</t>
  </si>
  <si>
    <t>Böker Applegate-Fairbairn Schulterholster</t>
  </si>
  <si>
    <t xml:space="preserve">Das hochwertige Applegate-Fairbairn Schulterholster aus Leder ist sowohl für Links- als auch für Rechtsträger geeignet. Passend für Kydex-und Lederscheiden. Holster OHNE Messer.
</t>
  </si>
  <si>
    <t>CST-92BSU</t>
  </si>
  <si>
    <t>Baseballschläger Brooklyn Banshee</t>
  </si>
  <si>
    <t xml:space="preserve">Brooklyn Banshee, Baseballschläger
Seit ihrer Einführung 2006 erfreuen sich Cold Steels® Baseballschläger der Brooklyn-Serie großer Beliebtheit! Diese unfassbar zähen Schläger sind in Präzisionsarbeit aus hochbeanspruchbarem Polypropylen spritzgegossen und sind nicht nur robuster als die meisten traditionellen Schläger, sondern auch langlebiger!
Sie werden weder verrotten, noch reißen, absplittern oder ausbleichen! Schmutzeinwirkungen brauchst Du auch nicht befürchten, da die Schläger witterungsbeständig sind und sich mit nichts anderem als Seife und Wasser reinigen lassen. Sie sind für Schulsport- und Ligaspiele gleichermaßen ideal und können als reguläre Spielschläger oder als Aufwärm- bzw. Trainingsschläger benutzt werden. Für die Kampfsportler unter Euch können sie sogar als übergreifend einsetzbare Trainingshilfen dienen, um Kraft und Auge-Hand-Koordination auszubauen. Den richtigen Schläger findest Du hier, sei es den Mini-Schläger für Sammler (Brooklyn Shorty), den großartigen, überdimensionalen Schläger (Brooklyn Whopper), oder alle weiteren Modelle dazwischen.
Der brandneue Brooklyn Banshee oder 'Sticker Bat' ist ein echter Jedermanns-Schläger. Er verfügt über eine glatte Oberfläche, so dass Du ihn ganz nach Deinem Geschmack personalisieren kannst. Und um Deine kreative Ader zu stimulieren und Dir dabei zu helfen, den Banshee zu Deinem ganz eigenen Schläger zu machen, ist im Lieferumfang eine Packung von Cold Steels® Lieblings-Sticker enthalten. Mit einer Gesamtlänge von ca. 81 cm und einem Gewicht von knapp über 900 g ist er auch für Jugendliche geeignet. Der weiche, nachgiebige Griff mit Griffband-Optik bietet ultimativen Komfort und äußerst sicheren Halt. Mit diesem Schläger, der ein optimales Verhältnis von Gewicht zu Länge an den Tag legt, wirst Du bestens vorbereitet sein, wenn es darauf ankommt, Dein Können unter Beweis zu stellen. Und wenn er erst einmal geschmückt ist, wirst Du ihn nicht mehr irgendwo verstauen, sondern all Deinen Freunden zeigen wollen. Also lass Deiner Kreativität freien Lauf und schick Cold Steel® Fotos Deines Unikats, damit sie sehen dürfen, wie einfallsreich Du bist!
Details
- Brooklyn Banshee
- Material: schlagfestes Polypropylen, Gummi-Griff
- Gesamtlänge: ca. 81,3 cm
- Gewicht: ca. 907 g
- Stärke am Griff: ca. 2,5 cm
- Stärke an der Spitze: ca. 5,1 cm
- Cold Steel® Artikelnummer: 92BSU
</t>
  </si>
  <si>
    <t>Militärkompass</t>
  </si>
  <si>
    <t>Mit Flüssigkeitsdämpfung, Anlagekante mit Maßstab, Neigungsmesser, Peileinrichtung und Vergrößerungsglas im Sucher.
Durchmesser 5,5 cm</t>
  </si>
  <si>
    <t>Gewicht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</si>
</sst>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CHF&quot;\ * #,##0.00_ ;_ &quot;CHF&quot;\ * \-#,##0.00_ ;_ &quot;CHF&quot;\ * &quot;-&quot;??_ ;_ @_ "/>
    <numFmt numFmtId="164" formatCode="_ &quot;Fr.&quot;\ * #,##0.00_ ;_ &quot;Fr.&quot;\ * \-#,##0.00_ ;_ &quot;Fr.&quot;\ * &quot;-&quot;??_ ;_ @_ "/>
    <numFmt numFmtId="165" formatCode="_ &quot;Fr.&quot;\ * #\'##0.00_ ;_ &quot;Fr.&quot;\ * \-#\'##0.00_ ;_ &quot;Fr.&quot;\ * &quot;-&quot;??_ ;_ @_ "/>
    <numFmt numFmtId="166" formatCode="_-* #,##0.00\ &quot;€&quot;_-;\-* #,##0.00\ &quot;€&quot;_-;_-* &quot;-&quot;??\ &quot;€&quot;_-;_-@_-"/>
  </numFmts>
  <fonts count="5" x14ac:knownFonts="1">
    <font>
      <sz val="11"/>
      <color theme="1"/>
      <name val="Calibri"/>
      <family val="2"/>
      <scheme val="minor"/>
    </font>
    <font>
      <sz val="11"/>
      <color theme="1"/>
      <name val="Calibri"/>
      <family val="2"/>
      <scheme val="minor"/>
    </font>
    <font>
      <sz val="8"/>
      <name val="Calibri"/>
      <family val="2"/>
      <scheme val="minor"/>
    </font>
    <font>
      <sz val="11"/>
      <color indexed="8"/>
      <name val="Calibri"/>
      <family val="2"/>
      <scheme val="minor"/>
    </font>
    <font>
      <b/>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9">
    <xf numFmtId="0" fontId="0" fillId="0" borderId="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0"/>
    <xf numFmtId="166" fontId="1" fillId="0" borderId="0" applyFont="0" applyFill="0" applyBorder="0" applyAlignment="0" applyProtection="0"/>
    <xf numFmtId="164" fontId="1" fillId="0" borderId="0" applyFont="0" applyFill="0" applyBorder="0" applyAlignment="0" applyProtection="0"/>
  </cellStyleXfs>
  <cellXfs count="14">
    <xf numFmtId="0" fontId="0" fillId="0" borderId="0" xfId="0"/>
    <xf numFmtId="0" fontId="2" fillId="0" borderId="1" xfId="0" applyFont="1" applyBorder="1"/>
    <xf numFmtId="0" fontId="2" fillId="0" borderId="1" xfId="1" applyNumberFormat="1" applyFont="1" applyFill="1" applyBorder="1"/>
    <xf numFmtId="1" fontId="2" fillId="0" borderId="1" xfId="0" applyNumberFormat="1" applyFont="1" applyBorder="1" applyAlignment="1">
      <alignment wrapText="1"/>
    </xf>
    <xf numFmtId="0" fontId="2" fillId="0" borderId="1" xfId="0" applyFont="1" applyBorder="1" applyAlignment="1">
      <alignment wrapText="1"/>
    </xf>
    <xf numFmtId="164" fontId="2" fillId="0" borderId="1" xfId="0" applyNumberFormat="1" applyFont="1" applyBorder="1"/>
    <xf numFmtId="0" fontId="2" fillId="0" borderId="0" xfId="0" applyFont="1"/>
    <xf numFmtId="1" fontId="2" fillId="0" borderId="1" xfId="0" applyNumberFormat="1" applyFont="1" applyBorder="1"/>
    <xf numFmtId="0" fontId="2" fillId="0" borderId="1" xfId="0" applyFont="1" applyBorder="1" applyAlignment="1">
      <alignment horizontal="center"/>
    </xf>
    <xf numFmtId="0" fontId="2" fillId="0" borderId="0" xfId="1" applyNumberFormat="1" applyFont="1" applyFill="1"/>
    <xf numFmtId="164" fontId="4" fillId="0" borderId="2" xfId="0" applyNumberFormat="1" applyFont="1" applyBorder="1"/>
    <xf numFmtId="1" fontId="2" fillId="0" borderId="0" xfId="0" applyNumberFormat="1" applyFont="1"/>
    <xf numFmtId="0" fontId="2" fillId="0" borderId="0" xfId="0" applyFont="1" applyAlignment="1">
      <alignment wrapText="1"/>
    </xf>
    <xf numFmtId="164" fontId="2" fillId="0" borderId="0" xfId="0" applyNumberFormat="1" applyFont="1"/>
  </cellXfs>
  <cellStyles count="9">
    <cellStyle name="Standard" xfId="0" builtinId="0"/>
    <cellStyle name="Standard 2" xfId="6" xr:uid="{C6348820-8E85-46B0-B5EA-02FBCCC211A6}"/>
    <cellStyle name="Währung" xfId="1" builtinId="4"/>
    <cellStyle name="Währung 2" xfId="2" xr:uid="{2C27D4A0-A690-47D6-B132-4162D3A33498}"/>
    <cellStyle name="Währung 2 2 2" xfId="5" xr:uid="{221F709C-A724-4FAC-8B45-DAED25DA39F4}"/>
    <cellStyle name="Währung 3" xfId="7" xr:uid="{C0C77DBA-CD89-4C03-8F36-3D35C141A5BC}"/>
    <cellStyle name="Währung 4" xfId="3" xr:uid="{5EB333DD-41A7-4E88-B4BE-60A0FCF2B9CF}"/>
    <cellStyle name="Währung 5" xfId="4" xr:uid="{8D67345A-E7A7-41B4-B6D6-95B6527A21B7}"/>
    <cellStyle name="Währung 6" xfId="8" xr:uid="{0D1948EC-F3CB-43D7-9391-D258E9969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5DCD-67B2-49D8-A076-E1D49D16E627}">
  <sheetPr codeName="Tabelle7"/>
  <dimension ref="A1:AC25"/>
  <sheetViews>
    <sheetView tabSelected="1" workbookViewId="0">
      <selection activeCell="A2" sqref="A2:A13"/>
    </sheetView>
  </sheetViews>
  <sheetFormatPr baseColWidth="10" defaultColWidth="11.42578125" defaultRowHeight="11.25" x14ac:dyDescent="0.2"/>
  <cols>
    <col min="1" max="1" width="4.42578125" style="6" bestFit="1" customWidth="1"/>
    <col min="2" max="2" width="2.42578125" style="6" bestFit="1" customWidth="1"/>
    <col min="3" max="3" width="2.5703125" style="6" bestFit="1" customWidth="1"/>
    <col min="4" max="4" width="2.7109375" style="6" bestFit="1" customWidth="1"/>
    <col min="5" max="5" width="3" style="6" bestFit="1" customWidth="1"/>
    <col min="6" max="6" width="10.28515625" style="6" bestFit="1" customWidth="1"/>
    <col min="7" max="7" width="8.5703125" style="6" bestFit="1" customWidth="1"/>
    <col min="8" max="8" width="7.7109375" style="6" bestFit="1" customWidth="1"/>
    <col min="9" max="9" width="26.5703125" style="6" bestFit="1" customWidth="1"/>
    <col min="10" max="10" width="21" style="6" bestFit="1" customWidth="1"/>
    <col min="11" max="11" width="11.85546875" style="6" bestFit="1" customWidth="1"/>
    <col min="12" max="12" width="12.5703125" style="9" bestFit="1" customWidth="1"/>
    <col min="13" max="13" width="9.85546875" style="6" bestFit="1" customWidth="1"/>
    <col min="14" max="14" width="10.5703125" style="9" bestFit="1" customWidth="1"/>
    <col min="15" max="15" width="7.85546875" style="6" bestFit="1" customWidth="1"/>
    <col min="16" max="16" width="7.140625" style="6" bestFit="1" customWidth="1"/>
    <col min="17" max="17" width="7.85546875" style="6" bestFit="1" customWidth="1"/>
    <col min="18" max="18" width="12.140625" style="6" bestFit="1" customWidth="1"/>
    <col min="19" max="19" width="252" style="6" bestFit="1" customWidth="1"/>
    <col min="20" max="20" width="67.28515625" style="6" bestFit="1" customWidth="1"/>
    <col min="21" max="21" width="26.5703125" style="6" bestFit="1" customWidth="1"/>
    <col min="22" max="22" width="67.28515625" style="6" bestFit="1" customWidth="1"/>
    <col min="23" max="23" width="11.42578125" style="6" bestFit="1"/>
    <col min="24" max="24" width="14.140625" style="6" bestFit="1" customWidth="1"/>
    <col min="25" max="25" width="30.140625" style="6" bestFit="1" customWidth="1"/>
    <col min="26" max="26" width="9" style="6" bestFit="1" customWidth="1"/>
    <col min="27" max="27" width="9.42578125" style="6" bestFit="1" customWidth="1"/>
    <col min="28" max="28" width="8.28515625" style="6" bestFit="1" customWidth="1"/>
    <col min="29" max="16384" width="11.42578125" style="6"/>
  </cols>
  <sheetData>
    <row r="1" spans="1:29" x14ac:dyDescent="0.2">
      <c r="A1" s="1"/>
      <c r="B1" s="1" t="s">
        <v>0</v>
      </c>
      <c r="C1" s="1" t="s">
        <v>1</v>
      </c>
      <c r="D1" s="1" t="s">
        <v>2</v>
      </c>
      <c r="E1" s="1" t="s">
        <v>3</v>
      </c>
      <c r="F1" s="1" t="s">
        <v>30</v>
      </c>
      <c r="G1" s="1" t="s">
        <v>4</v>
      </c>
      <c r="H1" s="1" t="s">
        <v>5</v>
      </c>
      <c r="I1" s="1" t="s">
        <v>6</v>
      </c>
      <c r="J1" s="1" t="s">
        <v>7</v>
      </c>
      <c r="K1" s="1" t="s">
        <v>8</v>
      </c>
      <c r="L1" s="2" t="s">
        <v>9</v>
      </c>
      <c r="M1" s="1" t="s">
        <v>10</v>
      </c>
      <c r="N1" s="2"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8" t="s">
        <v>63</v>
      </c>
    </row>
    <row r="2" spans="1:29" ht="15" customHeight="1" x14ac:dyDescent="0.2">
      <c r="A2" s="1">
        <v>1</v>
      </c>
      <c r="B2" s="1">
        <v>1</v>
      </c>
      <c r="C2" s="1"/>
      <c r="D2" s="1"/>
      <c r="E2" s="1"/>
      <c r="F2" s="1">
        <v>0</v>
      </c>
      <c r="G2" s="1">
        <v>88159</v>
      </c>
      <c r="H2" s="1">
        <v>1</v>
      </c>
      <c r="I2" s="1" t="s">
        <v>32</v>
      </c>
      <c r="J2" s="1" t="s">
        <v>31</v>
      </c>
      <c r="K2" s="1"/>
      <c r="L2" s="2">
        <v>51</v>
      </c>
      <c r="M2" s="1">
        <v>53</v>
      </c>
      <c r="N2" s="2">
        <v>23.7</v>
      </c>
      <c r="O2" s="1">
        <f t="shared" ref="O2:O13" si="0">G2</f>
        <v>88159</v>
      </c>
      <c r="P2" s="1" t="s">
        <v>27</v>
      </c>
      <c r="Q2" s="1" t="s">
        <v>29</v>
      </c>
      <c r="R2" s="3">
        <v>4050346881593</v>
      </c>
      <c r="S2" s="4" t="s">
        <v>33</v>
      </c>
      <c r="T2" s="1" t="str">
        <f t="shared" ref="T2:T13" si="1">$I2 &amp; "," &amp; $J2 &amp;"," &amp; $P2 &amp;","&amp; $Q2</f>
        <v>Leichter Einsatzhandschuh Größe XXL,Accueil,Outdoor plus,Security,Haller,Blackfield</v>
      </c>
      <c r="U2" s="1" t="str">
        <f t="shared" ref="U2:U13" si="2">I2</f>
        <v>Leichter Einsatzhandschuh Größe XXL</v>
      </c>
      <c r="V2" s="1" t="str">
        <f t="shared" ref="V2:V13" si="3">T2</f>
        <v>Leichter Einsatzhandschuh Größe XXL,Accueil,Outdoor plus,Security,Haller,Blackfield</v>
      </c>
      <c r="W2" s="1">
        <v>1</v>
      </c>
      <c r="X2" s="1">
        <v>1</v>
      </c>
      <c r="Y2" s="1" t="str">
        <f xml:space="preserve"> "http://usfh.ch/img/Security/" &amp; G2 &amp; ".jpg"</f>
        <v>http://usfh.ch/img/Security/88159.jpg</v>
      </c>
      <c r="Z2" s="1">
        <f t="shared" ref="Z2:Z13" si="4">G2</f>
        <v>88159</v>
      </c>
      <c r="AA2" s="5">
        <f t="shared" ref="AA2:AA13" si="5">F2*L2</f>
        <v>0</v>
      </c>
      <c r="AB2" s="5">
        <f t="shared" ref="AB2:AB13" si="6">F2*N2</f>
        <v>0</v>
      </c>
      <c r="AC2" s="1">
        <v>0.1</v>
      </c>
    </row>
    <row r="3" spans="1:29" ht="15" customHeight="1" x14ac:dyDescent="0.2">
      <c r="A3" s="1">
        <v>2</v>
      </c>
      <c r="B3" s="1">
        <v>1</v>
      </c>
      <c r="C3" s="1"/>
      <c r="D3" s="1"/>
      <c r="E3" s="1"/>
      <c r="F3" s="1">
        <v>0</v>
      </c>
      <c r="G3" s="1">
        <v>88152</v>
      </c>
      <c r="H3" s="1">
        <v>1</v>
      </c>
      <c r="I3" s="1" t="s">
        <v>34</v>
      </c>
      <c r="J3" s="1" t="s">
        <v>31</v>
      </c>
      <c r="K3" s="1"/>
      <c r="L3" s="2">
        <v>51</v>
      </c>
      <c r="M3" s="1">
        <v>53</v>
      </c>
      <c r="N3" s="2">
        <v>23.7</v>
      </c>
      <c r="O3" s="1">
        <f t="shared" si="0"/>
        <v>88152</v>
      </c>
      <c r="P3" s="1" t="s">
        <v>27</v>
      </c>
      <c r="Q3" s="1" t="s">
        <v>29</v>
      </c>
      <c r="R3" s="3">
        <v>4050346881594</v>
      </c>
      <c r="S3" s="4" t="s">
        <v>33</v>
      </c>
      <c r="T3" s="1" t="str">
        <f t="shared" si="1"/>
        <v>Leichter Einsatzhandschuh Größe XL,Accueil,Outdoor plus,Security,Haller,Blackfield</v>
      </c>
      <c r="U3" s="1" t="str">
        <f t="shared" si="2"/>
        <v>Leichter Einsatzhandschuh Größe XL</v>
      </c>
      <c r="V3" s="1" t="str">
        <f t="shared" si="3"/>
        <v>Leichter Einsatzhandschuh Größe XL,Accueil,Outdoor plus,Security,Haller,Blackfield</v>
      </c>
      <c r="W3" s="1">
        <v>1</v>
      </c>
      <c r="X3" s="1">
        <v>1</v>
      </c>
      <c r="Y3" s="1" t="str">
        <f t="shared" ref="Y3:Y13" si="7" xml:space="preserve"> "http://usfh.ch/img/Security/" &amp; G3 &amp; ".jpg"</f>
        <v>http://usfh.ch/img/Security/88152.jpg</v>
      </c>
      <c r="Z3" s="1">
        <f t="shared" si="4"/>
        <v>88152</v>
      </c>
      <c r="AA3" s="5">
        <f t="shared" si="5"/>
        <v>0</v>
      </c>
      <c r="AB3" s="5">
        <f t="shared" si="6"/>
        <v>0</v>
      </c>
      <c r="AC3" s="1">
        <v>0.1</v>
      </c>
    </row>
    <row r="4" spans="1:29" ht="15" customHeight="1" x14ac:dyDescent="0.2">
      <c r="A4" s="1">
        <v>3</v>
      </c>
      <c r="B4" s="1"/>
      <c r="C4" s="1"/>
      <c r="D4" s="1"/>
      <c r="E4" s="1"/>
      <c r="F4" s="1">
        <v>2</v>
      </c>
      <c r="G4" s="1">
        <v>88151</v>
      </c>
      <c r="H4" s="1">
        <v>1</v>
      </c>
      <c r="I4" s="1" t="s">
        <v>35</v>
      </c>
      <c r="J4" s="1" t="s">
        <v>31</v>
      </c>
      <c r="K4" s="1"/>
      <c r="L4" s="2">
        <v>51</v>
      </c>
      <c r="M4" s="1">
        <v>53</v>
      </c>
      <c r="N4" s="2">
        <v>23.7</v>
      </c>
      <c r="O4" s="1">
        <f t="shared" si="0"/>
        <v>88151</v>
      </c>
      <c r="P4" s="1" t="s">
        <v>27</v>
      </c>
      <c r="Q4" s="1" t="s">
        <v>29</v>
      </c>
      <c r="R4" s="3">
        <v>4050345881518</v>
      </c>
      <c r="S4" s="4" t="s">
        <v>36</v>
      </c>
      <c r="T4" s="1" t="str">
        <f t="shared" si="1"/>
        <v>Leichter Einsatzhandschuh Größe L,Accueil,Outdoor plus,Security,Haller,Blackfield</v>
      </c>
      <c r="U4" s="1" t="str">
        <f t="shared" si="2"/>
        <v>Leichter Einsatzhandschuh Größe L</v>
      </c>
      <c r="V4" s="1" t="str">
        <f t="shared" si="3"/>
        <v>Leichter Einsatzhandschuh Größe L,Accueil,Outdoor plus,Security,Haller,Blackfield</v>
      </c>
      <c r="W4" s="1">
        <v>1</v>
      </c>
      <c r="X4" s="1">
        <v>1</v>
      </c>
      <c r="Y4" s="1" t="str">
        <f t="shared" si="7"/>
        <v>http://usfh.ch/img/Security/88151.jpg</v>
      </c>
      <c r="Z4" s="1">
        <f t="shared" si="4"/>
        <v>88151</v>
      </c>
      <c r="AA4" s="5">
        <f t="shared" si="5"/>
        <v>102</v>
      </c>
      <c r="AB4" s="5">
        <f t="shared" si="6"/>
        <v>47.4</v>
      </c>
      <c r="AC4" s="1">
        <v>0.1</v>
      </c>
    </row>
    <row r="5" spans="1:29" ht="15" customHeight="1" x14ac:dyDescent="0.2">
      <c r="A5" s="1">
        <v>4</v>
      </c>
      <c r="B5" s="1"/>
      <c r="C5" s="1">
        <v>1</v>
      </c>
      <c r="D5" s="1"/>
      <c r="E5" s="1"/>
      <c r="F5" s="1">
        <v>1</v>
      </c>
      <c r="G5" s="1" t="s">
        <v>37</v>
      </c>
      <c r="H5" s="1">
        <v>1</v>
      </c>
      <c r="I5" s="1" t="s">
        <v>38</v>
      </c>
      <c r="J5" s="1" t="s">
        <v>31</v>
      </c>
      <c r="K5" s="1"/>
      <c r="L5" s="2">
        <v>49</v>
      </c>
      <c r="M5" s="1">
        <v>53</v>
      </c>
      <c r="N5" s="2">
        <v>16.399999999999999</v>
      </c>
      <c r="O5" s="1" t="str">
        <f t="shared" si="0"/>
        <v>CST-92BST</v>
      </c>
      <c r="P5" s="1" t="s">
        <v>28</v>
      </c>
      <c r="Q5" s="1" t="s">
        <v>28</v>
      </c>
      <c r="R5" s="7"/>
      <c r="S5" s="4" t="s">
        <v>39</v>
      </c>
      <c r="T5" s="1" t="str">
        <f t="shared" si="1"/>
        <v>Baseballschläger Brooklyn Shorty,Accueil,Outdoor plus,Security,Coldsteel,Coldsteel</v>
      </c>
      <c r="U5" s="1" t="str">
        <f t="shared" si="2"/>
        <v>Baseballschläger Brooklyn Shorty</v>
      </c>
      <c r="V5" s="1" t="str">
        <f t="shared" si="3"/>
        <v>Baseballschläger Brooklyn Shorty,Accueil,Outdoor plus,Security,Coldsteel,Coldsteel</v>
      </c>
      <c r="W5" s="1">
        <v>1</v>
      </c>
      <c r="X5" s="1">
        <v>1</v>
      </c>
      <c r="Y5" s="1" t="str">
        <f t="shared" si="7"/>
        <v>http://usfh.ch/img/Security/CST-92BST.jpg</v>
      </c>
      <c r="Z5" s="1" t="str">
        <f t="shared" si="4"/>
        <v>CST-92BST</v>
      </c>
      <c r="AA5" s="5">
        <f t="shared" si="5"/>
        <v>49</v>
      </c>
      <c r="AB5" s="5">
        <f t="shared" si="6"/>
        <v>16.399999999999999</v>
      </c>
      <c r="AC5" s="1">
        <v>0.6</v>
      </c>
    </row>
    <row r="6" spans="1:29" ht="15" customHeight="1" x14ac:dyDescent="0.2">
      <c r="A6" s="1">
        <v>5</v>
      </c>
      <c r="B6" s="1"/>
      <c r="C6" s="1"/>
      <c r="D6" s="1"/>
      <c r="E6" s="1"/>
      <c r="F6" s="1">
        <v>2</v>
      </c>
      <c r="G6" s="1" t="s">
        <v>40</v>
      </c>
      <c r="H6" s="1">
        <v>1</v>
      </c>
      <c r="I6" s="1" t="s">
        <v>41</v>
      </c>
      <c r="J6" s="1" t="s">
        <v>31</v>
      </c>
      <c r="K6" s="1"/>
      <c r="L6" s="2">
        <v>50</v>
      </c>
      <c r="M6" s="1">
        <v>53</v>
      </c>
      <c r="N6" s="2">
        <v>22.8</v>
      </c>
      <c r="O6" s="1" t="str">
        <f t="shared" si="0"/>
        <v>CST-92BSBZ</v>
      </c>
      <c r="P6" s="1" t="s">
        <v>28</v>
      </c>
      <c r="Q6" s="1" t="s">
        <v>28</v>
      </c>
      <c r="R6" s="7"/>
      <c r="S6" s="4" t="s">
        <v>42</v>
      </c>
      <c r="T6" s="1" t="str">
        <f t="shared" si="1"/>
        <v>Baseballschläger Brooklyn Basher,Accueil,Outdoor plus,Security,Coldsteel,Coldsteel</v>
      </c>
      <c r="U6" s="1" t="str">
        <f t="shared" si="2"/>
        <v>Baseballschläger Brooklyn Basher</v>
      </c>
      <c r="V6" s="1" t="str">
        <f t="shared" si="3"/>
        <v>Baseballschläger Brooklyn Basher,Accueil,Outdoor plus,Security,Coldsteel,Coldsteel</v>
      </c>
      <c r="W6" s="1">
        <v>1</v>
      </c>
      <c r="X6" s="1">
        <v>1</v>
      </c>
      <c r="Y6" s="1" t="str">
        <f t="shared" si="7"/>
        <v>http://usfh.ch/img/Security/CST-92BSBZ.jpg</v>
      </c>
      <c r="Z6" s="1" t="str">
        <f t="shared" si="4"/>
        <v>CST-92BSBZ</v>
      </c>
      <c r="AA6" s="5">
        <f t="shared" si="5"/>
        <v>100</v>
      </c>
      <c r="AB6" s="5">
        <f t="shared" si="6"/>
        <v>45.6</v>
      </c>
      <c r="AC6" s="1">
        <v>0.9</v>
      </c>
    </row>
    <row r="7" spans="1:29" ht="15" customHeight="1" x14ac:dyDescent="0.2">
      <c r="A7" s="1">
        <v>6</v>
      </c>
      <c r="B7" s="1"/>
      <c r="C7" s="1"/>
      <c r="D7" s="1"/>
      <c r="E7" s="1"/>
      <c r="F7" s="1">
        <v>2</v>
      </c>
      <c r="G7" s="1" t="s">
        <v>43</v>
      </c>
      <c r="H7" s="1">
        <v>1</v>
      </c>
      <c r="I7" s="1" t="s">
        <v>44</v>
      </c>
      <c r="J7" s="1" t="s">
        <v>31</v>
      </c>
      <c r="K7" s="1"/>
      <c r="L7" s="2">
        <v>72</v>
      </c>
      <c r="M7" s="1">
        <v>53</v>
      </c>
      <c r="N7" s="2">
        <v>30</v>
      </c>
      <c r="O7" s="1" t="str">
        <f t="shared" si="0"/>
        <v>CST-92BS</v>
      </c>
      <c r="P7" s="1" t="s">
        <v>28</v>
      </c>
      <c r="Q7" s="1" t="s">
        <v>28</v>
      </c>
      <c r="R7" s="3"/>
      <c r="S7" s="4" t="s">
        <v>45</v>
      </c>
      <c r="T7" s="1" t="str">
        <f t="shared" si="1"/>
        <v>Baseballschläger Brooklyn Smasher,Accueil,Outdoor plus,Security,Coldsteel,Coldsteel</v>
      </c>
      <c r="U7" s="1" t="str">
        <f t="shared" si="2"/>
        <v>Baseballschläger Brooklyn Smasher</v>
      </c>
      <c r="V7" s="1" t="str">
        <f t="shared" si="3"/>
        <v>Baseballschläger Brooklyn Smasher,Accueil,Outdoor plus,Security,Coldsteel,Coldsteel</v>
      </c>
      <c r="W7" s="1">
        <v>1</v>
      </c>
      <c r="X7" s="1">
        <v>1</v>
      </c>
      <c r="Y7" s="1" t="str">
        <f t="shared" si="7"/>
        <v>http://usfh.ch/img/Security/CST-92BS.jpg</v>
      </c>
      <c r="Z7" s="1" t="str">
        <f t="shared" si="4"/>
        <v>CST-92BS</v>
      </c>
      <c r="AA7" s="5">
        <f t="shared" si="5"/>
        <v>144</v>
      </c>
      <c r="AB7" s="5">
        <f t="shared" si="6"/>
        <v>60</v>
      </c>
      <c r="AC7" s="1">
        <v>1.3</v>
      </c>
    </row>
    <row r="8" spans="1:29" ht="15" customHeight="1" x14ac:dyDescent="0.2">
      <c r="A8" s="1">
        <v>7</v>
      </c>
      <c r="B8" s="1"/>
      <c r="C8" s="1"/>
      <c r="D8" s="1"/>
      <c r="E8" s="1"/>
      <c r="F8" s="1">
        <v>1</v>
      </c>
      <c r="G8" s="1" t="s">
        <v>46</v>
      </c>
      <c r="H8" s="1">
        <v>1</v>
      </c>
      <c r="I8" s="1" t="s">
        <v>47</v>
      </c>
      <c r="J8" s="1" t="s">
        <v>31</v>
      </c>
      <c r="K8" s="1"/>
      <c r="L8" s="2">
        <v>79</v>
      </c>
      <c r="M8" s="1">
        <v>53</v>
      </c>
      <c r="N8" s="2">
        <v>37.9</v>
      </c>
      <c r="O8" s="1" t="str">
        <f t="shared" si="0"/>
        <v>CST-92BSL</v>
      </c>
      <c r="P8" s="1" t="s">
        <v>28</v>
      </c>
      <c r="Q8" s="1" t="s">
        <v>28</v>
      </c>
      <c r="R8" s="3"/>
      <c r="S8" s="4" t="s">
        <v>48</v>
      </c>
      <c r="T8" s="1" t="str">
        <f t="shared" si="1"/>
        <v>Baseballschläger Brooklyn Whopper,Accueil,Outdoor plus,Security,Coldsteel,Coldsteel</v>
      </c>
      <c r="U8" s="1" t="str">
        <f t="shared" si="2"/>
        <v>Baseballschläger Brooklyn Whopper</v>
      </c>
      <c r="V8" s="1" t="str">
        <f t="shared" si="3"/>
        <v>Baseballschläger Brooklyn Whopper,Accueil,Outdoor plus,Security,Coldsteel,Coldsteel</v>
      </c>
      <c r="W8" s="1">
        <v>1</v>
      </c>
      <c r="X8" s="1">
        <v>1</v>
      </c>
      <c r="Y8" s="1" t="str">
        <f t="shared" si="7"/>
        <v>http://usfh.ch/img/Security/CST-92BSL.jpg</v>
      </c>
      <c r="Z8" s="1" t="str">
        <f t="shared" si="4"/>
        <v>CST-92BSL</v>
      </c>
      <c r="AA8" s="5">
        <f t="shared" si="5"/>
        <v>79</v>
      </c>
      <c r="AB8" s="5">
        <f t="shared" si="6"/>
        <v>37.9</v>
      </c>
      <c r="AC8" s="1">
        <v>1.7</v>
      </c>
    </row>
    <row r="9" spans="1:29" ht="15" customHeight="1" x14ac:dyDescent="0.2">
      <c r="A9" s="1">
        <v>8</v>
      </c>
      <c r="B9" s="1"/>
      <c r="C9" s="1"/>
      <c r="D9" s="1"/>
      <c r="E9" s="1"/>
      <c r="F9" s="1">
        <v>1</v>
      </c>
      <c r="G9" s="1" t="s">
        <v>49</v>
      </c>
      <c r="H9" s="1">
        <v>1</v>
      </c>
      <c r="I9" s="1" t="s">
        <v>50</v>
      </c>
      <c r="J9" s="1" t="s">
        <v>31</v>
      </c>
      <c r="K9" s="1"/>
      <c r="L9" s="2">
        <v>59</v>
      </c>
      <c r="M9" s="1">
        <v>53</v>
      </c>
      <c r="N9" s="2">
        <v>23</v>
      </c>
      <c r="O9" s="1" t="str">
        <f t="shared" si="0"/>
        <v>CST-92BSS</v>
      </c>
      <c r="P9" s="1" t="s">
        <v>28</v>
      </c>
      <c r="Q9" s="1" t="s">
        <v>28</v>
      </c>
      <c r="R9" s="3"/>
      <c r="S9" s="4" t="s">
        <v>51</v>
      </c>
      <c r="T9" s="1" t="str">
        <f t="shared" si="1"/>
        <v>Baseballschläger Brooklyn Crusher,Accueil,Outdoor plus,Security,Coldsteel,Coldsteel</v>
      </c>
      <c r="U9" s="1" t="str">
        <f t="shared" si="2"/>
        <v>Baseballschläger Brooklyn Crusher</v>
      </c>
      <c r="V9" s="1" t="str">
        <f t="shared" si="3"/>
        <v>Baseballschläger Brooklyn Crusher,Accueil,Outdoor plus,Security,Coldsteel,Coldsteel</v>
      </c>
      <c r="W9" s="1">
        <v>1</v>
      </c>
      <c r="X9" s="1">
        <v>1</v>
      </c>
      <c r="Y9" s="1" t="str">
        <f t="shared" si="7"/>
        <v>http://usfh.ch/img/Security/CST-92BSS.jpg</v>
      </c>
      <c r="Z9" s="1" t="str">
        <f t="shared" si="4"/>
        <v>CST-92BSS</v>
      </c>
      <c r="AA9" s="5">
        <f t="shared" si="5"/>
        <v>59</v>
      </c>
      <c r="AB9" s="5">
        <f t="shared" si="6"/>
        <v>23</v>
      </c>
      <c r="AC9" s="1">
        <v>1.2</v>
      </c>
    </row>
    <row r="10" spans="1:29" ht="15" customHeight="1" x14ac:dyDescent="0.2">
      <c r="A10" s="1">
        <v>9</v>
      </c>
      <c r="B10" s="1"/>
      <c r="C10" s="1"/>
      <c r="D10" s="1"/>
      <c r="E10" s="1"/>
      <c r="F10" s="1">
        <v>1</v>
      </c>
      <c r="G10" s="1" t="s">
        <v>52</v>
      </c>
      <c r="H10" s="1">
        <v>1</v>
      </c>
      <c r="I10" s="1" t="s">
        <v>53</v>
      </c>
      <c r="J10" s="1" t="s">
        <v>31</v>
      </c>
      <c r="K10" s="1"/>
      <c r="L10" s="2">
        <v>59</v>
      </c>
      <c r="M10" s="1">
        <v>53</v>
      </c>
      <c r="N10" s="2">
        <v>24.2</v>
      </c>
      <c r="O10" s="1" t="str">
        <f t="shared" si="0"/>
        <v>CST-92BSW</v>
      </c>
      <c r="P10" s="1" t="s">
        <v>28</v>
      </c>
      <c r="Q10" s="1" t="s">
        <v>28</v>
      </c>
      <c r="R10" s="3"/>
      <c r="S10" s="4" t="s">
        <v>54</v>
      </c>
      <c r="T10" s="1" t="str">
        <f t="shared" si="1"/>
        <v>Baseballschläger Brooklyn Slammer,Accueil,Outdoor plus,Security,Coldsteel,Coldsteel</v>
      </c>
      <c r="U10" s="1" t="str">
        <f t="shared" si="2"/>
        <v>Baseballschläger Brooklyn Slammer</v>
      </c>
      <c r="V10" s="1" t="str">
        <f t="shared" si="3"/>
        <v>Baseballschläger Brooklyn Slammer,Accueil,Outdoor plus,Security,Coldsteel,Coldsteel</v>
      </c>
      <c r="W10" s="1">
        <v>1</v>
      </c>
      <c r="X10" s="1">
        <v>1</v>
      </c>
      <c r="Y10" s="1" t="str">
        <f t="shared" si="7"/>
        <v>http://usfh.ch/img/Security/CST-92BSW.jpg</v>
      </c>
      <c r="Z10" s="1" t="str">
        <f t="shared" si="4"/>
        <v>CST-92BSW</v>
      </c>
      <c r="AA10" s="5">
        <f t="shared" si="5"/>
        <v>59</v>
      </c>
      <c r="AB10" s="5">
        <f t="shared" si="6"/>
        <v>24.2</v>
      </c>
      <c r="AC10" s="1">
        <v>0.9</v>
      </c>
    </row>
    <row r="11" spans="1:29" ht="15" customHeight="1" x14ac:dyDescent="0.2">
      <c r="A11" s="1">
        <v>10</v>
      </c>
      <c r="B11" s="1"/>
      <c r="C11" s="1"/>
      <c r="D11" s="1"/>
      <c r="E11" s="1"/>
      <c r="F11" s="1">
        <v>1</v>
      </c>
      <c r="G11" s="1" t="s">
        <v>55</v>
      </c>
      <c r="H11" s="1">
        <v>1</v>
      </c>
      <c r="I11" s="1" t="s">
        <v>56</v>
      </c>
      <c r="J11" s="1" t="s">
        <v>31</v>
      </c>
      <c r="K11" s="1"/>
      <c r="L11" s="2">
        <v>139</v>
      </c>
      <c r="M11" s="1">
        <v>53</v>
      </c>
      <c r="N11" s="2">
        <v>55</v>
      </c>
      <c r="O11" s="1" t="str">
        <f t="shared" si="0"/>
        <v>129943SH</v>
      </c>
      <c r="P11" s="1" t="s">
        <v>26</v>
      </c>
      <c r="Q11" s="1" t="s">
        <v>26</v>
      </c>
      <c r="R11" s="3">
        <v>4045011002588</v>
      </c>
      <c r="S11" s="4" t="s">
        <v>57</v>
      </c>
      <c r="T11" s="1" t="str">
        <f t="shared" si="1"/>
        <v>Böker Applegate-Fairbairn Schulterholster,Accueil,Outdoor plus,Security,Böker,Böker</v>
      </c>
      <c r="U11" s="1" t="str">
        <f t="shared" si="2"/>
        <v>Böker Applegate-Fairbairn Schulterholster</v>
      </c>
      <c r="V11" s="1" t="str">
        <f t="shared" si="3"/>
        <v>Böker Applegate-Fairbairn Schulterholster,Accueil,Outdoor plus,Security,Böker,Böker</v>
      </c>
      <c r="W11" s="1">
        <v>1</v>
      </c>
      <c r="X11" s="1">
        <v>1</v>
      </c>
      <c r="Y11" s="1" t="str">
        <f t="shared" si="7"/>
        <v>http://usfh.ch/img/Security/129943SH.jpg</v>
      </c>
      <c r="Z11" s="1" t="str">
        <f t="shared" si="4"/>
        <v>129943SH</v>
      </c>
      <c r="AA11" s="5">
        <f t="shared" si="5"/>
        <v>139</v>
      </c>
      <c r="AB11" s="5">
        <f t="shared" si="6"/>
        <v>55</v>
      </c>
      <c r="AC11" s="1">
        <v>0.2</v>
      </c>
    </row>
    <row r="12" spans="1:29" ht="15" customHeight="1" x14ac:dyDescent="0.2">
      <c r="A12" s="1">
        <v>11</v>
      </c>
      <c r="B12" s="1"/>
      <c r="C12" s="1"/>
      <c r="D12" s="1"/>
      <c r="E12" s="1"/>
      <c r="F12" s="1">
        <v>0</v>
      </c>
      <c r="G12" s="1" t="s">
        <v>58</v>
      </c>
      <c r="H12" s="1">
        <v>1</v>
      </c>
      <c r="I12" s="1" t="s">
        <v>59</v>
      </c>
      <c r="J12" s="1" t="s">
        <v>31</v>
      </c>
      <c r="K12" s="1"/>
      <c r="L12" s="2">
        <v>85</v>
      </c>
      <c r="M12" s="1">
        <v>53</v>
      </c>
      <c r="N12" s="2">
        <v>36.5</v>
      </c>
      <c r="O12" s="1" t="str">
        <f t="shared" si="0"/>
        <v>CST-92BSU</v>
      </c>
      <c r="P12" s="1" t="s">
        <v>28</v>
      </c>
      <c r="Q12" s="1" t="s">
        <v>28</v>
      </c>
      <c r="R12" s="3"/>
      <c r="S12" s="4" t="s">
        <v>60</v>
      </c>
      <c r="T12" s="1" t="str">
        <f t="shared" si="1"/>
        <v>Baseballschläger Brooklyn Banshee,Accueil,Outdoor plus,Security,Coldsteel,Coldsteel</v>
      </c>
      <c r="U12" s="1" t="str">
        <f t="shared" si="2"/>
        <v>Baseballschläger Brooklyn Banshee</v>
      </c>
      <c r="V12" s="1" t="str">
        <f t="shared" si="3"/>
        <v>Baseballschläger Brooklyn Banshee,Accueil,Outdoor plus,Security,Coldsteel,Coldsteel</v>
      </c>
      <c r="W12" s="1">
        <v>1</v>
      </c>
      <c r="X12" s="1">
        <v>1</v>
      </c>
      <c r="Y12" s="1" t="str">
        <f t="shared" si="7"/>
        <v>http://usfh.ch/img/Security/CST-92BSU.jpg</v>
      </c>
      <c r="Z12" s="1" t="str">
        <f t="shared" si="4"/>
        <v>CST-92BSU</v>
      </c>
      <c r="AA12" s="5">
        <f t="shared" si="5"/>
        <v>0</v>
      </c>
      <c r="AB12" s="5">
        <f t="shared" si="6"/>
        <v>0</v>
      </c>
      <c r="AC12" s="1">
        <v>0.9</v>
      </c>
    </row>
    <row r="13" spans="1:29" ht="15" customHeight="1" x14ac:dyDescent="0.2">
      <c r="A13" s="1">
        <v>12</v>
      </c>
      <c r="B13" s="1"/>
      <c r="C13" s="1"/>
      <c r="D13" s="1"/>
      <c r="E13" s="1"/>
      <c r="F13" s="1">
        <v>3</v>
      </c>
      <c r="G13" s="1">
        <v>41036</v>
      </c>
      <c r="H13" s="1">
        <v>1</v>
      </c>
      <c r="I13" s="4" t="s">
        <v>61</v>
      </c>
      <c r="J13" s="1" t="s">
        <v>31</v>
      </c>
      <c r="K13" s="1"/>
      <c r="L13" s="2">
        <v>39</v>
      </c>
      <c r="M13" s="1">
        <v>53</v>
      </c>
      <c r="N13" s="2">
        <v>14.25</v>
      </c>
      <c r="O13" s="1">
        <f t="shared" si="0"/>
        <v>41036</v>
      </c>
      <c r="P13" s="1" t="s">
        <v>27</v>
      </c>
      <c r="Q13" s="1" t="s">
        <v>27</v>
      </c>
      <c r="R13" s="3"/>
      <c r="S13" s="4" t="s">
        <v>62</v>
      </c>
      <c r="T13" s="1" t="str">
        <f t="shared" si="1"/>
        <v>Militärkompass,Accueil,Outdoor plus,Security,Haller,Haller</v>
      </c>
      <c r="U13" s="1" t="str">
        <f t="shared" si="2"/>
        <v>Militärkompass</v>
      </c>
      <c r="V13" s="1" t="str">
        <f t="shared" si="3"/>
        <v>Militärkompass,Accueil,Outdoor plus,Security,Haller,Haller</v>
      </c>
      <c r="W13" s="1">
        <v>1</v>
      </c>
      <c r="X13" s="1">
        <v>1</v>
      </c>
      <c r="Y13" s="1" t="str">
        <f t="shared" si="7"/>
        <v>http://usfh.ch/img/Security/41036.jpg</v>
      </c>
      <c r="Z13" s="1">
        <f t="shared" si="4"/>
        <v>41036</v>
      </c>
      <c r="AA13" s="5">
        <f t="shared" si="5"/>
        <v>117</v>
      </c>
      <c r="AB13" s="5">
        <f t="shared" si="6"/>
        <v>42.75</v>
      </c>
      <c r="AC13" s="1">
        <v>0.1</v>
      </c>
    </row>
    <row r="14" spans="1:29" x14ac:dyDescent="0.2">
      <c r="R14" s="11"/>
      <c r="S14" s="12"/>
    </row>
    <row r="15" spans="1:29" x14ac:dyDescent="0.2">
      <c r="R15" s="11"/>
      <c r="S15" s="12"/>
      <c r="AA15" s="13">
        <f>SUM(AA2:AA13)</f>
        <v>848</v>
      </c>
    </row>
    <row r="16" spans="1:29" x14ac:dyDescent="0.2">
      <c r="R16" s="11"/>
      <c r="S16" s="12"/>
    </row>
    <row r="17" spans="13:19" x14ac:dyDescent="0.2">
      <c r="R17" s="11"/>
      <c r="S17" s="12"/>
    </row>
    <row r="18" spans="13:19" x14ac:dyDescent="0.2">
      <c r="R18" s="11"/>
      <c r="S18" s="12"/>
    </row>
    <row r="19" spans="13:19" x14ac:dyDescent="0.2">
      <c r="R19" s="11"/>
      <c r="S19" s="12"/>
    </row>
    <row r="20" spans="13:19" x14ac:dyDescent="0.2">
      <c r="R20" s="11"/>
      <c r="S20" s="12"/>
    </row>
    <row r="21" spans="13:19" x14ac:dyDescent="0.2">
      <c r="R21" s="11"/>
      <c r="S21" s="12"/>
    </row>
    <row r="22" spans="13:19" x14ac:dyDescent="0.2">
      <c r="R22" s="11"/>
      <c r="S22" s="12"/>
    </row>
    <row r="23" spans="13:19" ht="12" thickBot="1" x14ac:dyDescent="0.25">
      <c r="M23" s="10">
        <f>SUM(AA2:AA13)</f>
        <v>848</v>
      </c>
      <c r="N23" s="10">
        <f>SUM(AB:AB)</f>
        <v>352.25</v>
      </c>
      <c r="R23" s="11"/>
      <c r="S23" s="12"/>
    </row>
    <row r="24" spans="13:19" ht="12" thickTop="1" x14ac:dyDescent="0.2">
      <c r="R24" s="11"/>
      <c r="S24" s="12"/>
    </row>
    <row r="25" spans="13:19" x14ac:dyDescent="0.2">
      <c r="R25" s="11"/>
      <c r="S25" s="1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Security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Urs Schwendener</cp:lastModifiedBy>
  <cp:lastPrinted>2025-10-08T07:53:50Z</cp:lastPrinted>
  <dcterms:created xsi:type="dcterms:W3CDTF">2023-06-14T13:57:13Z</dcterms:created>
  <dcterms:modified xsi:type="dcterms:W3CDTF">2026-04-25T11:10:31Z</dcterms:modified>
</cp:coreProperties>
</file>