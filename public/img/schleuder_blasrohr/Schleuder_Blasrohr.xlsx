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166925"/>
  <mc:AlternateContent xmlns:mc="http://schemas.openxmlformats.org/markup-compatibility/2006">
    <mc:Choice Requires="x15">
      <x15ac:absPath xmlns:x15ac="http://schemas.microsoft.com/office/spreadsheetml/2010/11/ac" url="K:\Privat\US_FH\web_shop\Neuer shop\Schleuder_Blasrohr\"/>
    </mc:Choice>
  </mc:AlternateContent>
  <xr:revisionPtr revIDLastSave="0" documentId="13_ncr:1_{233BD8A2-F4BB-4981-9042-5E36BD3E4F07}" xr6:coauthVersionLast="47" xr6:coauthVersionMax="47" xr10:uidLastSave="{00000000-0000-0000-0000-000000000000}"/>
  <bookViews>
    <workbookView xWindow="-120" yWindow="-120" windowWidth="29040" windowHeight="15720" tabRatio="884" xr2:uid="{5C413A35-37CD-4FC7-9B0F-E46798A10454}"/>
  </bookViews>
  <sheets>
    <sheet name="Schleuder_Blasrohr" sheetId="7"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 i="7" l="1"/>
  <c r="Y4" i="7"/>
  <c r="Y5" i="7"/>
  <c r="Y6" i="7"/>
  <c r="Y7" i="7"/>
  <c r="Y8" i="7"/>
  <c r="Y9" i="7"/>
  <c r="Y10" i="7"/>
  <c r="Y2" i="7"/>
  <c r="O4" i="7" l="1"/>
  <c r="T4" i="7"/>
  <c r="V4" i="7" s="1"/>
  <c r="U4" i="7"/>
  <c r="Z4" i="7"/>
  <c r="AA4" i="7"/>
  <c r="AB4" i="7"/>
  <c r="AB10" i="7" l="1"/>
  <c r="AA10" i="7"/>
  <c r="Z10" i="7"/>
  <c r="U10" i="7"/>
  <c r="T10" i="7"/>
  <c r="V10" i="7" s="1"/>
  <c r="O10" i="7"/>
  <c r="AB9" i="7"/>
  <c r="AA9" i="7"/>
  <c r="Z9" i="7"/>
  <c r="U9" i="7"/>
  <c r="T9" i="7"/>
  <c r="V9" i="7" s="1"/>
  <c r="O9" i="7"/>
  <c r="AB8" i="7"/>
  <c r="AA8" i="7"/>
  <c r="Z8" i="7"/>
  <c r="U8" i="7"/>
  <c r="T8" i="7"/>
  <c r="V8" i="7" s="1"/>
  <c r="O8" i="7"/>
  <c r="AB7" i="7"/>
  <c r="AA7" i="7"/>
  <c r="Z7" i="7"/>
  <c r="U7" i="7"/>
  <c r="T7" i="7"/>
  <c r="V7" i="7" s="1"/>
  <c r="O7" i="7"/>
  <c r="AB6" i="7"/>
  <c r="AA6" i="7"/>
  <c r="Z6" i="7"/>
  <c r="U6" i="7"/>
  <c r="T6" i="7"/>
  <c r="V6" i="7" s="1"/>
  <c r="O6" i="7"/>
  <c r="AB5" i="7"/>
  <c r="AA5" i="7"/>
  <c r="Z5" i="7"/>
  <c r="U5" i="7"/>
  <c r="T5" i="7"/>
  <c r="V5" i="7" s="1"/>
  <c r="O5" i="7"/>
  <c r="AB3" i="7"/>
  <c r="AA3" i="7"/>
  <c r="Z3" i="7"/>
  <c r="U3" i="7"/>
  <c r="T3" i="7"/>
  <c r="V3" i="7" s="1"/>
  <c r="O3" i="7"/>
  <c r="AB2" i="7"/>
  <c r="AA2" i="7"/>
  <c r="Z2" i="7"/>
  <c r="U2" i="7"/>
  <c r="T2" i="7"/>
  <c r="V2" i="7" s="1"/>
  <c r="O2" i="7"/>
  <c r="AA12" i="7" l="1"/>
  <c r="L17" i="7" s="1"/>
  <c r="M17" i="7"/>
</calcChain>
</file>

<file path=xl/sharedStrings.xml><?xml version="1.0" encoding="utf-8"?>
<sst xmlns="http://schemas.openxmlformats.org/spreadsheetml/2006/main" count="78" uniqueCount="51">
  <si>
    <t>IG</t>
  </si>
  <si>
    <t>BS</t>
  </si>
  <si>
    <t>PÄ</t>
  </si>
  <si>
    <t>GÜ</t>
  </si>
  <si>
    <t>ID</t>
  </si>
  <si>
    <t>Aktiv (0/1)</t>
  </si>
  <si>
    <t>Name</t>
  </si>
  <si>
    <t>Kategorien (x, y, z. ..)</t>
  </si>
  <si>
    <t>Preis zzgl. MwSt.</t>
  </si>
  <si>
    <t>Preis inkl. MwSt.</t>
  </si>
  <si>
    <t>ID Steuersatz</t>
  </si>
  <si>
    <t>Einkaufspreis</t>
  </si>
  <si>
    <t>Artikel-Nr.</t>
  </si>
  <si>
    <t>Lieferant</t>
  </si>
  <si>
    <t>Hersteller</t>
  </si>
  <si>
    <t>EAN 13</t>
  </si>
  <si>
    <t>Beschreibung</t>
  </si>
  <si>
    <t>Stichwörter</t>
  </si>
  <si>
    <t>Meta-Title</t>
  </si>
  <si>
    <t>Meta-Suchworte</t>
  </si>
  <si>
    <t>Bestellbar (0/1)</t>
  </si>
  <si>
    <t>Preis anzeigen (0/1)</t>
  </si>
  <si>
    <t>URLs der Bilder</t>
  </si>
  <si>
    <t>RewriteLink</t>
  </si>
  <si>
    <t>tot. VK</t>
  </si>
  <si>
    <t>tot. EK</t>
  </si>
  <si>
    <t>Haller</t>
  </si>
  <si>
    <t>Coldsteel</t>
  </si>
  <si>
    <t>Lagerbestand</t>
  </si>
  <si>
    <t>CST-B6255P</t>
  </si>
  <si>
    <t>Profi .625 Big Bore Blasrohr, 5 Fuss</t>
  </si>
  <si>
    <t>Accueil,Outdoor plus,Blasrohr und Schleudern</t>
  </si>
  <si>
    <t xml:space="preserve">Profi .625 Magnum® Big Bore® Blasrohr, 5 Fuß 
Das Blasrohr hat eine lange Geschichte. Viele glauben, es entstand in Malaysia, wo es über die malaysische und indonesische Inselgruppe seinen Weg auf die Philippinen und nach Japan fand. 
Blasrohre wurden mit kleinen Steinen oder gehärteten Lehmpellets als Munition bestückt und zur Jagd auf Kleintiere und Vögel verwendet. 
Cold Steels Big Bore® Blasrohre verfügen über große .625 Kaliber Magnum Geschützrohre und sind in der Lage, schwerere Pfeile schneller zu verschießen als die Konkurrenz.
Obwohl die Standardvarianten (CST-B6254 und CST-B6255) hervorragend sind, hat Cold Steel mit den Profi.625 Modellen noch einen drauf gelegt. Diese Blasrohre sind 120 cm (4 Fuß) bzw. 150 cm (5 Fuß) lang und verfügen über ein verbessertes Mundstück und ein Geschützrohr mit 3 mm Wandstärke, d.h. fast doppelt so dick und 45% schwerer als die Standardmodelle.
Noch bessere Zielgenauigkeit durch Biegesteifheit und Gewicht! 
Details: 
- Profi .625 Magnum Big Bore Blasrohr, 5 Fuß (ca. 1,5 m) 
- 3 mm Wandstärke 
- Mundstück, Gummitülle, Köcher, Schutzring und 36 Pfeile (15 Bambuspfeile, 15 Mini Broadhead-Pfeile und 6 Stöpselpfeile - sog. Stun Darts) sind im Lieferumfang enthalten. 
- Cold Steel Artikelnummer: B6255P 
</t>
  </si>
  <si>
    <t>CST-B6254P</t>
  </si>
  <si>
    <t>Profi .625 Big Bore Blasrohr, 4 Fuss</t>
  </si>
  <si>
    <t xml:space="preserve">Profi .625 Magnum® Big Bore® Blasrohr, 4 Fuß 
Das Blasrohr hat eine lange Geschichte. Viele glauben, es entstand in Malaysia, wo es über die malaysische und indonesische Inselgruppe seinen Weg auf die Philippinen und nach Japan fand. 
Blasrohre wurden mit kleinen Steinen oder gehärteten Lehmpellets als Munition bestückt und zur Jagd auf Kleintiere und Vögel verwendet. 
Cold Steels Big Bore® Blasrohre verfügen über große .625 Kaliber Magnum Geschützrohre und sind in der Lage, schwerere Pfeile schneller zu verschießen als die Konkurrenz.
Obwohl die Standardvarianten (CST-B6254 and CST-B6255) hervorragend sind, hat Cold Steel mit den Profi.625 Modellen noch einen drauf gelegt. Diese Blasrohre sind 120 cm (4 Fuß) bzw. 150 cm (5 Fuß) lang und verfügen über ein verbessertes Mundstück und ein Geschützrohr mit 3 mm Wandstärke, d.h. fast doppelt so dick und 45% schwerer als die Standardmodelle.
Noch bessere Zielgenauigkeit durch Biegesteifheit und Gewicht! 
Details: 
- Profi .625 Magnum Big Bore Blasrohr, 4 Fuß (ca. 1,2 m) 
- 3 mm Wandstärke 
- Mundstück, Gummitülle, Köcher, Schutzring und 36 Pfeile (15 Bambuspfeile, 15 Mini Broadhead-Pfeile und 6 Stöpselpfeile - sog. Stun Darts) sind im Lieferumfang enthalten. 
- Cold Steel Artikelnummer: B6254P 
</t>
  </si>
  <si>
    <t>Die Kugeln können auf Knopfdruck einzeln entnommen werden. Passend für ca. 11 Kugeln.</t>
  </si>
  <si>
    <t>Schleuder mit Magazin orange</t>
  </si>
  <si>
    <t>Schleuder mit Magazin blau</t>
  </si>
  <si>
    <t>CST-B6255T</t>
  </si>
  <si>
    <t>.625 Big Bore Blasrohr, 5 Fuss,Zweiteilig</t>
  </si>
  <si>
    <t xml:space="preserve">Zweiteiliges .625 Magnum® Big Bore® Blowgun, 5 Fuß 
Das Blasrohr hat weltweit eine lange Geschichte. Es wird vermutet, dass es in Malaysia entstand und sich über die malaysischen und indonesischen Inselgruppen seinen Weg auf die Philippinen und sogar nach Japan bahnte. Allerdings war das Blasrohr nicht ausschließlich in Südostasien vertreten. Es tauchte auch in der westlichen Hemisphäre auf - von den Dschungeln Süd- und Mittelamerikas, bis hin zu den südöstlichen Gebieten der heutigen USA. Blasrohre wurden mit kleinen Steinen oder gehärteten Lehmpellets als Munition bestückt und zur Jagd auf Kleintiere und Vögel verwendet. 
Cold Steels Big Bore® Blasrohre verfügen über große .625 Kaliber Magnum Geschützrohre und sind in der Lage, schwerere Pfeile schneller zu verschießen als manche andere Modelle auf dem Markt! Sie haben eine effektive Reichweite von ca. 18 Metern und mit ihnen kann ein erfahrener Schütze mit entsprechendem Training einen 5 cm Kreis aus unglaublicher Entfernung treffen und schwere Pfeile schießen, die eine ca. 1,3 cm dicke Sperrholzplatte durchdringen können. 
Im Freien lassen sich die Big Bore® Blasrohre von Cold Steel extrem gut tragen. Sie sind recht leicht und dank der Gummitülle als Wanderstock hervorragend geeignet. Solltest Du aber auf der Suche nach einem noch praktischeren Modell sein, das in einem Rucksack passt, hat Cold Steel eine Lösung parat! Das in zwei Teile zerlegbare 5-Fuss-Modell besteht aus zwei mit Gewinden ausgestatteten Rohren und einem verstärkenden Verbindungsstück. Es bietet dieselbe Biegesteifheit, Zielgenauigkeit und große Reichweite wie ein 5-Fuß-Standardmodell, hat aber den Vorteil, dass es sich mühelos auseinanderbauen und verstauen lässt.
Details: 
- Zweiteiliges .625 Magnum Big Bore Blasrohr, 5 Fuß (ca. 1,5 m) 
- 1,5 mm Wandstärke 
- Mundstück, Gummitülle, Köcher, Schutzring und 36 Pfeile (15 Bambuspfeile, 15 Mini Broadhead-Pfeile und 6 Stöpselpfeile - sog. Stun Darts) sind im Lieferumfang enthalten. </t>
  </si>
  <si>
    <t>BGB-CS-B6254</t>
  </si>
  <si>
    <t xml:space="preserve">.625 Magnum® Big Bore® Blasrohr, 4 Fuß 
Das Blasrohr hat weltweit eine lange Geschichte. Es wird vermutet, dass es in Malaysia entstand und sich über die malaysischen und indonesischen Inselgruppen seinen Weg auf die Philippinen und sogar nach Japan bahnte. Allerdings war das Blasrohr nicht ausschließlich in Südostasien vertreten. Es tauchte auch in der westlichen Hemisphäre auf - von den Dschungeln Süd- und Mittelamerikas, bis hin zu den südöstlichen Gebieten der heutigen USA. Blasrohre wurden mit kleinen Steinen oder gehärteten Lehmpellets als Munition bestückt und zur Jagd auf Kleintiere und Vögel verwendet. 
Cold Steels Big Bore® Blasrohre verfügen über große .625 Kaliber Magnum Geschützrohre und sind in der Lage, schwerere Pfeile schneller zu verschießen als manche andere Modelle auf dem Markt! Sie haben eine effektive Reichweite von ca. 18 Metern und mit ihnen kann ein erfahrener Schütze mit entsprechendem Training einen 5 cm Kreis aus unglaublicher Entfernung treffen und schwere Pfeile schießen, die eine ca. 1,3 cm dicke Sperrholzplatte durchdringen können. 
Blasrohrschießen bringt großen Spaß, drinnen oder im Freien, bei gutem oder schlechtem Wetter. Probiere Cold Steels .625 Magnum® Big Bore® und Du wirst bald süchtig nach dem Spaß am weltweit leistungsstärksten Blasrohr sein! 
Details: 
- .625 Magnum Big Bore Blasrohr, 4 Fuß (ca. 1,2 m) 
- 1,5 mm Wandstärke 
- Mundstück, Gummitülle, Köcher, Schutzring und 36 Pfeile (15 Bambuspfeile, 15 Mini Broadhead-Pfeile und 6 Stöpselpfeile - sog. Stun Darts) sind im Lieferumfang enthalten. </t>
  </si>
  <si>
    <t>CST-B625TWZ</t>
  </si>
  <si>
    <t>Tim Wells Signature -Slockmaster- Blasrohr</t>
  </si>
  <si>
    <t xml:space="preserve">Tim Wells Signature Slockmaster Blasrohr 
Tim Wells ist weltweit einer der erfahrensten Jäger mit primitiven Waffen. Wie die Fans seiner preisgekrönten Sendung Relentless Pursuit es bezeugen können, hat er bereits unzählige Male sein Leben aufs Spiel gesetzt, als er sich mit nicht viel mehr als einem Speer, einem Bogen oder einem Messer auf die Jagd nach gefährlichem Großwild begab. 
Obwohl Tim in erster Linie als begabter Bogenjäger bekannt ist, ist er auch ein sehr talentierter Blasrohrschütze und hat die Big Bore-Blasrohre von Cold Steel auf der ganzen Welt bei der Jagd eingesetzt. 
Dieses Blasrohr ist eine Sonderedition, die genau nach Tims Vorgaben konstruiert wurde. Es verfügt über einen neu gestalteten Griff mit integriertem Mundstück und Handschutz für erhöhten Komfort sowohl beim Schießen als auch beim Einsatz als Wanderstock. Ein zweites, am Vorderschaft angebrachtes Griffstück aus Gummi sorgt für besseren Halt und höhere Stabilität beim Präzisionsschießen. Für die Aufbewahrung und den Transport lässt sich das Tim Wells Sondermodell mühelos zerlegen und ist ein absolutes Muss für jeden Blasrohrenthusiasten! 
Details: 
- Tim Wells Signature Slockmaster Blasrohr 
- .625 Kaliber, 5 Fuß (ca. 1,5 m), zweiteilig 
- 1,5 mm Wandstärke 
- Mundstück, Gummitülle, Köcher, Schutzring, Haltegriff und 30 Pfeile (20 Razor Tip Broadhead-Pfeile + 10 Mini Broadhead-Pfeile) sind im Lieferumfang enthalten. </t>
  </si>
  <si>
    <t>Schleuder Silver Sling</t>
  </si>
  <si>
    <t>Schleuder Silver Sling
Mit Quad String Technologie.
Aus Metall.
Länge 21 cm</t>
  </si>
  <si>
    <t>Schleuder mit Magazin schwarz/gelb</t>
  </si>
  <si>
    <t>Gewicht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</si>
</sst>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CHF&quot;\ * #,##0.00_ ;_ &quot;CHF&quot;\ * \-#,##0.00_ ;_ &quot;CHF&quot;\ * &quot;-&quot;??_ ;_ @_ "/>
    <numFmt numFmtId="164" formatCode="_ &quot;Fr.&quot;\ * #,##0.00_ ;_ &quot;Fr.&quot;\ * \-#,##0.00_ ;_ &quot;Fr.&quot;\ * &quot;-&quot;??_ ;_ @_ "/>
    <numFmt numFmtId="165" formatCode="_ &quot;Fr.&quot;\ * #\'##0.00_ ;_ &quot;Fr.&quot;\ * \-#\'##0.00_ ;_ &quot;Fr.&quot;\ * &quot;-&quot;??_ ;_ @_ "/>
    <numFmt numFmtId="166" formatCode="_-* #,##0.00\ &quot;€&quot;_-;\-* #,##0.00\ &quot;€&quot;_-;_-* &quot;-&quot;??\ &quot;€&quot;_-;_-@_-"/>
  </numFmts>
  <fonts count="5" x14ac:knownFonts="1">
    <font>
      <sz val="11"/>
      <color theme="1"/>
      <name val="Calibri"/>
      <family val="2"/>
      <scheme val="minor"/>
    </font>
    <font>
      <sz val="11"/>
      <color theme="1"/>
      <name val="Calibri"/>
      <family val="2"/>
      <scheme val="minor"/>
    </font>
    <font>
      <sz val="8"/>
      <color theme="1"/>
      <name val="Calibri"/>
      <family val="2"/>
      <scheme val="minor"/>
    </font>
    <font>
      <sz val="8"/>
      <name val="Calibri"/>
      <family val="2"/>
      <scheme val="minor"/>
    </font>
    <font>
      <sz val="11"/>
      <color indexed="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9">
    <xf numFmtId="0" fontId="0" fillId="0" borderId="0"/>
    <xf numFmtId="4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4" fillId="0" borderId="0"/>
    <xf numFmtId="166" fontId="1" fillId="0" borderId="0" applyFont="0" applyFill="0" applyBorder="0" applyAlignment="0" applyProtection="0"/>
    <xf numFmtId="164" fontId="1" fillId="0" borderId="0" applyFont="0" applyFill="0" applyBorder="0" applyAlignment="0" applyProtection="0"/>
  </cellStyleXfs>
  <cellXfs count="15">
    <xf numFmtId="0" fontId="0" fillId="0" borderId="0" xfId="0"/>
    <xf numFmtId="0" fontId="2" fillId="0" borderId="0" xfId="0" applyFont="1"/>
    <xf numFmtId="0" fontId="2" fillId="0" borderId="0" xfId="0" applyFont="1" applyAlignment="1">
      <alignment wrapText="1"/>
    </xf>
    <xf numFmtId="0" fontId="2" fillId="0" borderId="0" xfId="1" applyNumberFormat="1" applyFont="1"/>
    <xf numFmtId="1" fontId="2" fillId="0" borderId="0" xfId="0" applyNumberFormat="1" applyFont="1"/>
    <xf numFmtId="164" fontId="2" fillId="0" borderId="0" xfId="0" applyNumberFormat="1" applyFont="1"/>
    <xf numFmtId="164" fontId="2" fillId="0" borderId="2" xfId="0" applyNumberFormat="1" applyFont="1" applyBorder="1"/>
    <xf numFmtId="0" fontId="3" fillId="0" borderId="1" xfId="0" applyFont="1" applyBorder="1"/>
    <xf numFmtId="0" fontId="3" fillId="0" borderId="1" xfId="1" applyNumberFormat="1" applyFont="1" applyFill="1" applyBorder="1"/>
    <xf numFmtId="1" fontId="3" fillId="0" borderId="1" xfId="0" applyNumberFormat="1" applyFont="1" applyBorder="1" applyAlignment="1">
      <alignment wrapText="1"/>
    </xf>
    <xf numFmtId="0" fontId="3" fillId="0" borderId="1" xfId="0" applyFont="1" applyBorder="1" applyAlignment="1">
      <alignment wrapText="1"/>
    </xf>
    <xf numFmtId="164" fontId="3" fillId="0" borderId="1" xfId="0" applyNumberFormat="1" applyFont="1" applyBorder="1"/>
    <xf numFmtId="0" fontId="3" fillId="0" borderId="0" xfId="0" applyFont="1"/>
    <xf numFmtId="1" fontId="3" fillId="0" borderId="1" xfId="0" applyNumberFormat="1" applyFont="1" applyBorder="1"/>
    <xf numFmtId="0" fontId="3" fillId="0" borderId="1" xfId="0" applyFont="1" applyBorder="1" applyAlignment="1">
      <alignment horizontal="center"/>
    </xf>
  </cellXfs>
  <cellStyles count="9">
    <cellStyle name="Standard" xfId="0" builtinId="0"/>
    <cellStyle name="Standard 2" xfId="6" xr:uid="{C6348820-8E85-46B0-B5EA-02FBCCC211A6}"/>
    <cellStyle name="Währung" xfId="1" builtinId="4"/>
    <cellStyle name="Währung 2" xfId="2" xr:uid="{2C27D4A0-A690-47D6-B132-4162D3A33498}"/>
    <cellStyle name="Währung 2 2 2" xfId="5" xr:uid="{221F709C-A724-4FAC-8B45-DAED25DA39F4}"/>
    <cellStyle name="Währung 3" xfId="7" xr:uid="{C0C77DBA-CD89-4C03-8F36-3D35C141A5BC}"/>
    <cellStyle name="Währung 4" xfId="3" xr:uid="{5EB333DD-41A7-4E88-B4BE-60A0FCF2B9CF}"/>
    <cellStyle name="Währung 5" xfId="4" xr:uid="{8D67345A-E7A7-41B4-B6D6-95B6527A21B7}"/>
    <cellStyle name="Währung 6" xfId="8" xr:uid="{0D1948EC-F3CB-43D7-9391-D258E99699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2B3C0-8553-4E6B-A2C6-B6053F5E9877}">
  <sheetPr codeName="Tabelle8"/>
  <dimension ref="A1:AC19"/>
  <sheetViews>
    <sheetView tabSelected="1" workbookViewId="0">
      <selection activeCell="A2" sqref="A2:A10"/>
    </sheetView>
  </sheetViews>
  <sheetFormatPr baseColWidth="10" defaultColWidth="11.42578125" defaultRowHeight="11.25" x14ac:dyDescent="0.2"/>
  <cols>
    <col min="1" max="1" width="4.42578125" style="1" bestFit="1" customWidth="1"/>
    <col min="2" max="2" width="2.42578125" style="1" bestFit="1" customWidth="1"/>
    <col min="3" max="3" width="2.5703125" style="1" bestFit="1" customWidth="1"/>
    <col min="4" max="4" width="2.7109375" style="1" bestFit="1" customWidth="1"/>
    <col min="5" max="5" width="3" style="1" bestFit="1" customWidth="1"/>
    <col min="6" max="6" width="10.28515625" style="1" bestFit="1" customWidth="1"/>
    <col min="7" max="7" width="10.42578125" style="1" bestFit="1" customWidth="1"/>
    <col min="8" max="8" width="7.7109375" style="1" bestFit="1" customWidth="1"/>
    <col min="9" max="9" width="31.5703125" style="1" bestFit="1" customWidth="1"/>
    <col min="10" max="10" width="32.42578125" style="1" bestFit="1" customWidth="1"/>
    <col min="11" max="11" width="11.85546875" style="1" bestFit="1" customWidth="1"/>
    <col min="12" max="12" width="12" style="3" bestFit="1" customWidth="1"/>
    <col min="13" max="13" width="9.85546875" style="1" bestFit="1" customWidth="1"/>
    <col min="14" max="14" width="10" style="3" bestFit="1" customWidth="1"/>
    <col min="15" max="15" width="8.85546875" style="1" bestFit="1" customWidth="1"/>
    <col min="16" max="16" width="7.42578125" style="1" bestFit="1" customWidth="1"/>
    <col min="17" max="17" width="7.85546875" style="1" bestFit="1" customWidth="1"/>
    <col min="18" max="18" width="12.140625" style="1" bestFit="1" customWidth="1"/>
    <col min="19" max="19" width="252" style="1" bestFit="1" customWidth="1"/>
    <col min="20" max="20" width="67.28515625" style="1" bestFit="1" customWidth="1"/>
    <col min="21" max="21" width="24.28515625" style="1" bestFit="1" customWidth="1"/>
    <col min="22" max="22" width="67.28515625" style="1" bestFit="1" customWidth="1"/>
    <col min="23" max="23" width="11.42578125" style="1" bestFit="1"/>
    <col min="24" max="24" width="14.140625" style="1" bestFit="1" customWidth="1"/>
    <col min="25" max="25" width="30.140625" style="1" bestFit="1" customWidth="1"/>
    <col min="26" max="26" width="9" style="1" bestFit="1" customWidth="1"/>
    <col min="27" max="27" width="9.42578125" style="1" bestFit="1" customWidth="1"/>
    <col min="28" max="28" width="8.28515625" style="1" bestFit="1" customWidth="1"/>
    <col min="29" max="16384" width="11.42578125" style="1"/>
  </cols>
  <sheetData>
    <row r="1" spans="1:29" s="12" customFormat="1" ht="15" customHeight="1" x14ac:dyDescent="0.2">
      <c r="A1" s="7"/>
      <c r="B1" s="7" t="s">
        <v>0</v>
      </c>
      <c r="C1" s="7" t="s">
        <v>1</v>
      </c>
      <c r="D1" s="7" t="s">
        <v>2</v>
      </c>
      <c r="E1" s="7" t="s">
        <v>3</v>
      </c>
      <c r="F1" s="7" t="s">
        <v>28</v>
      </c>
      <c r="G1" s="7" t="s">
        <v>4</v>
      </c>
      <c r="H1" s="7" t="s">
        <v>5</v>
      </c>
      <c r="I1" s="7" t="s">
        <v>6</v>
      </c>
      <c r="J1" s="7" t="s">
        <v>7</v>
      </c>
      <c r="K1" s="7" t="s">
        <v>8</v>
      </c>
      <c r="L1" s="8" t="s">
        <v>9</v>
      </c>
      <c r="M1" s="7" t="s">
        <v>10</v>
      </c>
      <c r="N1" s="8" t="s">
        <v>11</v>
      </c>
      <c r="O1" s="7" t="s">
        <v>12</v>
      </c>
      <c r="P1" s="7" t="s">
        <v>13</v>
      </c>
      <c r="Q1" s="7" t="s">
        <v>14</v>
      </c>
      <c r="R1" s="7" t="s">
        <v>15</v>
      </c>
      <c r="S1" s="7" t="s">
        <v>16</v>
      </c>
      <c r="T1" s="7" t="s">
        <v>17</v>
      </c>
      <c r="U1" s="7" t="s">
        <v>18</v>
      </c>
      <c r="V1" s="7" t="s">
        <v>19</v>
      </c>
      <c r="W1" s="7" t="s">
        <v>20</v>
      </c>
      <c r="X1" s="7" t="s">
        <v>21</v>
      </c>
      <c r="Y1" s="7" t="s">
        <v>22</v>
      </c>
      <c r="Z1" s="7" t="s">
        <v>23</v>
      </c>
      <c r="AA1" s="7" t="s">
        <v>24</v>
      </c>
      <c r="AB1" s="7" t="s">
        <v>25</v>
      </c>
      <c r="AC1" s="14" t="s">
        <v>50</v>
      </c>
    </row>
    <row r="2" spans="1:29" s="12" customFormat="1" ht="15" customHeight="1" x14ac:dyDescent="0.2">
      <c r="A2" s="7">
        <v>1</v>
      </c>
      <c r="B2" s="7"/>
      <c r="C2" s="7"/>
      <c r="D2" s="7"/>
      <c r="E2" s="7"/>
      <c r="F2" s="7">
        <v>0</v>
      </c>
      <c r="G2" s="7" t="s">
        <v>29</v>
      </c>
      <c r="H2" s="7">
        <v>1</v>
      </c>
      <c r="I2" s="7" t="s">
        <v>30</v>
      </c>
      <c r="J2" s="7" t="s">
        <v>31</v>
      </c>
      <c r="K2" s="7"/>
      <c r="L2" s="8">
        <v>79</v>
      </c>
      <c r="M2" s="7">
        <v>53</v>
      </c>
      <c r="N2" s="8">
        <v>36.75</v>
      </c>
      <c r="O2" s="7" t="str">
        <f>G2</f>
        <v>CST-B6255P</v>
      </c>
      <c r="P2" s="7" t="s">
        <v>27</v>
      </c>
      <c r="Q2" s="7" t="s">
        <v>27</v>
      </c>
      <c r="R2" s="13"/>
      <c r="S2" s="10" t="s">
        <v>32</v>
      </c>
      <c r="T2" s="7" t="str">
        <f t="shared" ref="T2:T10" si="0">$I2 &amp; "," &amp; $J2 &amp;"," &amp; $P2 &amp;","&amp; $Q2</f>
        <v>Profi .625 Big Bore Blasrohr, 5 Fuss,Accueil,Outdoor plus,Blasrohr und Schleudern,Coldsteel,Coldsteel</v>
      </c>
      <c r="U2" s="7" t="str">
        <f>I2</f>
        <v>Profi .625 Big Bore Blasrohr, 5 Fuss</v>
      </c>
      <c r="V2" s="7" t="str">
        <f>T2</f>
        <v>Profi .625 Big Bore Blasrohr, 5 Fuss,Accueil,Outdoor plus,Blasrohr und Schleudern,Coldsteel,Coldsteel</v>
      </c>
      <c r="W2" s="7">
        <v>1</v>
      </c>
      <c r="X2" s="7">
        <v>1</v>
      </c>
      <c r="Y2" s="7" t="str">
        <f xml:space="preserve"> "http://usfh.ch/img/Schleuder_Blasrohr/" &amp; G2 &amp; ".jpg"</f>
        <v>http://usfh.ch/img/Schleuder_Blasrohr/CST-B6255P.jpg</v>
      </c>
      <c r="Z2" s="7" t="str">
        <f>G2</f>
        <v>CST-B6255P</v>
      </c>
      <c r="AA2" s="11">
        <f>F2*L2</f>
        <v>0</v>
      </c>
      <c r="AB2" s="11">
        <f>F2*N2</f>
        <v>0</v>
      </c>
      <c r="AC2" s="7">
        <v>0.8</v>
      </c>
    </row>
    <row r="3" spans="1:29" s="12" customFormat="1" ht="15" customHeight="1" x14ac:dyDescent="0.2">
      <c r="A3" s="7">
        <v>2</v>
      </c>
      <c r="B3" s="7"/>
      <c r="C3" s="7"/>
      <c r="D3" s="7"/>
      <c r="E3" s="7"/>
      <c r="F3" s="7">
        <v>0</v>
      </c>
      <c r="G3" s="7" t="s">
        <v>33</v>
      </c>
      <c r="H3" s="7">
        <v>1</v>
      </c>
      <c r="I3" s="7" t="s">
        <v>34</v>
      </c>
      <c r="J3" s="7" t="s">
        <v>31</v>
      </c>
      <c r="K3" s="7"/>
      <c r="L3" s="8">
        <v>69</v>
      </c>
      <c r="M3" s="7">
        <v>53</v>
      </c>
      <c r="N3" s="8">
        <v>32</v>
      </c>
      <c r="O3" s="7" t="str">
        <f>G3</f>
        <v>CST-B6254P</v>
      </c>
      <c r="P3" s="7" t="s">
        <v>27</v>
      </c>
      <c r="Q3" s="7" t="s">
        <v>27</v>
      </c>
      <c r="R3" s="13"/>
      <c r="S3" s="10" t="s">
        <v>35</v>
      </c>
      <c r="T3" s="7" t="str">
        <f t="shared" si="0"/>
        <v>Profi .625 Big Bore Blasrohr, 4 Fuss,Accueil,Outdoor plus,Blasrohr und Schleudern,Coldsteel,Coldsteel</v>
      </c>
      <c r="U3" s="7" t="str">
        <f>I3</f>
        <v>Profi .625 Big Bore Blasrohr, 4 Fuss</v>
      </c>
      <c r="V3" s="7" t="str">
        <f>T3</f>
        <v>Profi .625 Big Bore Blasrohr, 4 Fuss,Accueil,Outdoor plus,Blasrohr und Schleudern,Coldsteel,Coldsteel</v>
      </c>
      <c r="W3" s="7">
        <v>1</v>
      </c>
      <c r="X3" s="7">
        <v>1</v>
      </c>
      <c r="Y3" s="7" t="str">
        <f t="shared" ref="Y3:Y10" si="1" xml:space="preserve"> "http://usfh.ch/img/Schleuder_Blasrohr/" &amp; G3 &amp; ".jpg"</f>
        <v>http://usfh.ch/img/Schleuder_Blasrohr/CST-B6254P.jpg</v>
      </c>
      <c r="Z3" s="7" t="str">
        <f>G3</f>
        <v>CST-B6254P</v>
      </c>
      <c r="AA3" s="11">
        <f>F3*L3</f>
        <v>0</v>
      </c>
      <c r="AB3" s="11">
        <f>F3*N3</f>
        <v>0</v>
      </c>
      <c r="AC3" s="7">
        <v>0.8</v>
      </c>
    </row>
    <row r="4" spans="1:29" s="12" customFormat="1" ht="15" customHeight="1" x14ac:dyDescent="0.2">
      <c r="A4" s="7">
        <v>3</v>
      </c>
      <c r="B4" s="7">
        <v>1</v>
      </c>
      <c r="C4" s="7"/>
      <c r="D4" s="7"/>
      <c r="E4" s="7"/>
      <c r="F4" s="7">
        <v>3</v>
      </c>
      <c r="G4" s="7">
        <v>40779</v>
      </c>
      <c r="H4" s="7">
        <v>1</v>
      </c>
      <c r="I4" s="7" t="s">
        <v>49</v>
      </c>
      <c r="J4" s="7" t="s">
        <v>31</v>
      </c>
      <c r="K4" s="7"/>
      <c r="L4" s="8">
        <v>29</v>
      </c>
      <c r="M4" s="7">
        <v>53</v>
      </c>
      <c r="N4" s="8">
        <v>11.95</v>
      </c>
      <c r="O4" s="7">
        <f t="shared" ref="O4" si="2">G4</f>
        <v>40779</v>
      </c>
      <c r="P4" s="7" t="s">
        <v>26</v>
      </c>
      <c r="Q4" s="7" t="s">
        <v>26</v>
      </c>
      <c r="R4" s="9"/>
      <c r="S4" s="10" t="s">
        <v>36</v>
      </c>
      <c r="T4" s="7" t="str">
        <f t="shared" si="0"/>
        <v>Schleuder mit Magazin schwarz/gelb,Accueil,Outdoor plus,Blasrohr und Schleudern,Haller,Haller</v>
      </c>
      <c r="U4" s="7" t="str">
        <f t="shared" ref="U4" si="3">I4</f>
        <v>Schleuder mit Magazin schwarz/gelb</v>
      </c>
      <c r="V4" s="7" t="str">
        <f t="shared" ref="V4" si="4">T4</f>
        <v>Schleuder mit Magazin schwarz/gelb,Accueil,Outdoor plus,Blasrohr und Schleudern,Haller,Haller</v>
      </c>
      <c r="W4" s="7">
        <v>1</v>
      </c>
      <c r="X4" s="7">
        <v>1</v>
      </c>
      <c r="Y4" s="7" t="str">
        <f t="shared" si="1"/>
        <v>http://usfh.ch/img/Schleuder_Blasrohr/40779.jpg</v>
      </c>
      <c r="Z4" s="7">
        <f t="shared" ref="Z4" si="5">G4</f>
        <v>40779</v>
      </c>
      <c r="AA4" s="11">
        <f t="shared" ref="AA4" si="6">F4*L4</f>
        <v>87</v>
      </c>
      <c r="AB4" s="11">
        <f t="shared" ref="AB4" si="7">F4*N4</f>
        <v>35.849999999999994</v>
      </c>
      <c r="AC4" s="7">
        <v>0.3</v>
      </c>
    </row>
    <row r="5" spans="1:29" s="12" customFormat="1" ht="15" customHeight="1" x14ac:dyDescent="0.2">
      <c r="A5" s="7">
        <v>4</v>
      </c>
      <c r="B5" s="7">
        <v>1</v>
      </c>
      <c r="C5" s="7"/>
      <c r="D5" s="7"/>
      <c r="E5" s="7"/>
      <c r="F5" s="7">
        <v>5</v>
      </c>
      <c r="G5" s="7">
        <v>40788</v>
      </c>
      <c r="H5" s="7">
        <v>1</v>
      </c>
      <c r="I5" s="7" t="s">
        <v>37</v>
      </c>
      <c r="J5" s="7" t="s">
        <v>31</v>
      </c>
      <c r="K5" s="7"/>
      <c r="L5" s="8">
        <v>29</v>
      </c>
      <c r="M5" s="7">
        <v>53</v>
      </c>
      <c r="N5" s="8">
        <v>11.95</v>
      </c>
      <c r="O5" s="7">
        <f t="shared" ref="O5:O10" si="8">G5</f>
        <v>40788</v>
      </c>
      <c r="P5" s="7" t="s">
        <v>26</v>
      </c>
      <c r="Q5" s="7" t="s">
        <v>26</v>
      </c>
      <c r="R5" s="9">
        <v>4050346407885</v>
      </c>
      <c r="S5" s="10" t="s">
        <v>36</v>
      </c>
      <c r="T5" s="7" t="str">
        <f t="shared" si="0"/>
        <v>Schleuder mit Magazin orange,Accueil,Outdoor plus,Blasrohr und Schleudern,Haller,Haller</v>
      </c>
      <c r="U5" s="7" t="str">
        <f t="shared" ref="U5:U10" si="9">I5</f>
        <v>Schleuder mit Magazin orange</v>
      </c>
      <c r="V5" s="7" t="str">
        <f t="shared" ref="V5:V10" si="10">T5</f>
        <v>Schleuder mit Magazin orange,Accueil,Outdoor plus,Blasrohr und Schleudern,Haller,Haller</v>
      </c>
      <c r="W5" s="7">
        <v>1</v>
      </c>
      <c r="X5" s="7">
        <v>1</v>
      </c>
      <c r="Y5" s="7" t="str">
        <f t="shared" si="1"/>
        <v>http://usfh.ch/img/Schleuder_Blasrohr/40788.jpg</v>
      </c>
      <c r="Z5" s="7">
        <f t="shared" ref="Z5:Z10" si="11">G5</f>
        <v>40788</v>
      </c>
      <c r="AA5" s="11">
        <f t="shared" ref="AA5:AA10" si="12">F5*L5</f>
        <v>145</v>
      </c>
      <c r="AB5" s="11">
        <f t="shared" ref="AB5:AB10" si="13">F5*N5</f>
        <v>59.75</v>
      </c>
      <c r="AC5" s="7">
        <v>0.3</v>
      </c>
    </row>
    <row r="6" spans="1:29" s="12" customFormat="1" ht="15" customHeight="1" x14ac:dyDescent="0.2">
      <c r="A6" s="7">
        <v>5</v>
      </c>
      <c r="B6" s="7">
        <v>1</v>
      </c>
      <c r="C6" s="7"/>
      <c r="D6" s="7"/>
      <c r="E6" s="7"/>
      <c r="F6" s="7">
        <v>3</v>
      </c>
      <c r="G6" s="7">
        <v>40783</v>
      </c>
      <c r="H6" s="7">
        <v>1</v>
      </c>
      <c r="I6" s="7" t="s">
        <v>38</v>
      </c>
      <c r="J6" s="7" t="s">
        <v>31</v>
      </c>
      <c r="K6" s="7"/>
      <c r="L6" s="8">
        <v>29</v>
      </c>
      <c r="M6" s="7">
        <v>53</v>
      </c>
      <c r="N6" s="8">
        <v>11.95</v>
      </c>
      <c r="O6" s="7">
        <f t="shared" si="8"/>
        <v>40783</v>
      </c>
      <c r="P6" s="7" t="s">
        <v>26</v>
      </c>
      <c r="Q6" s="7" t="s">
        <v>26</v>
      </c>
      <c r="R6" s="9">
        <v>4050346407830</v>
      </c>
      <c r="S6" s="10" t="s">
        <v>36</v>
      </c>
      <c r="T6" s="7" t="str">
        <f t="shared" si="0"/>
        <v>Schleuder mit Magazin blau,Accueil,Outdoor plus,Blasrohr und Schleudern,Haller,Haller</v>
      </c>
      <c r="U6" s="7" t="str">
        <f t="shared" si="9"/>
        <v>Schleuder mit Magazin blau</v>
      </c>
      <c r="V6" s="7" t="str">
        <f t="shared" si="10"/>
        <v>Schleuder mit Magazin blau,Accueil,Outdoor plus,Blasrohr und Schleudern,Haller,Haller</v>
      </c>
      <c r="W6" s="7">
        <v>1</v>
      </c>
      <c r="X6" s="7">
        <v>1</v>
      </c>
      <c r="Y6" s="7" t="str">
        <f t="shared" si="1"/>
        <v>http://usfh.ch/img/Schleuder_Blasrohr/40783.jpg</v>
      </c>
      <c r="Z6" s="7">
        <f t="shared" si="11"/>
        <v>40783</v>
      </c>
      <c r="AA6" s="11">
        <f t="shared" si="12"/>
        <v>87</v>
      </c>
      <c r="AB6" s="11">
        <f t="shared" si="13"/>
        <v>35.849999999999994</v>
      </c>
      <c r="AC6" s="7">
        <v>0.3</v>
      </c>
    </row>
    <row r="7" spans="1:29" s="12" customFormat="1" ht="15" customHeight="1" x14ac:dyDescent="0.2">
      <c r="A7" s="7">
        <v>6</v>
      </c>
      <c r="B7" s="7"/>
      <c r="C7" s="7"/>
      <c r="D7" s="7"/>
      <c r="E7" s="7"/>
      <c r="F7" s="7">
        <v>0</v>
      </c>
      <c r="G7" s="7" t="s">
        <v>39</v>
      </c>
      <c r="H7" s="7">
        <v>1</v>
      </c>
      <c r="I7" s="7" t="s">
        <v>40</v>
      </c>
      <c r="J7" s="7" t="s">
        <v>31</v>
      </c>
      <c r="K7" s="7"/>
      <c r="L7" s="8">
        <v>89</v>
      </c>
      <c r="M7" s="7">
        <v>53</v>
      </c>
      <c r="N7" s="8">
        <v>42</v>
      </c>
      <c r="O7" s="7" t="str">
        <f t="shared" si="8"/>
        <v>CST-B6255T</v>
      </c>
      <c r="P7" s="7" t="s">
        <v>27</v>
      </c>
      <c r="Q7" s="7" t="s">
        <v>27</v>
      </c>
      <c r="R7" s="13"/>
      <c r="S7" s="10" t="s">
        <v>41</v>
      </c>
      <c r="T7" s="7" t="str">
        <f t="shared" si="0"/>
        <v>.625 Big Bore Blasrohr, 5 Fuss,Zweiteilig,Accueil,Outdoor plus,Blasrohr und Schleudern,Coldsteel,Coldsteel</v>
      </c>
      <c r="U7" s="7" t="str">
        <f t="shared" si="9"/>
        <v>.625 Big Bore Blasrohr, 5 Fuss,Zweiteilig</v>
      </c>
      <c r="V7" s="7" t="str">
        <f t="shared" si="10"/>
        <v>.625 Big Bore Blasrohr, 5 Fuss,Zweiteilig,Accueil,Outdoor plus,Blasrohr und Schleudern,Coldsteel,Coldsteel</v>
      </c>
      <c r="W7" s="7">
        <v>1</v>
      </c>
      <c r="X7" s="7">
        <v>1</v>
      </c>
      <c r="Y7" s="7" t="str">
        <f t="shared" si="1"/>
        <v>http://usfh.ch/img/Schleuder_Blasrohr/CST-B6255T.jpg</v>
      </c>
      <c r="Z7" s="7" t="str">
        <f t="shared" si="11"/>
        <v>CST-B6255T</v>
      </c>
      <c r="AA7" s="11">
        <f t="shared" si="12"/>
        <v>0</v>
      </c>
      <c r="AB7" s="11">
        <f t="shared" si="13"/>
        <v>0</v>
      </c>
      <c r="AC7" s="7">
        <v>0.8</v>
      </c>
    </row>
    <row r="8" spans="1:29" s="12" customFormat="1" ht="15" customHeight="1" x14ac:dyDescent="0.2">
      <c r="A8" s="7">
        <v>7</v>
      </c>
      <c r="B8" s="7"/>
      <c r="C8" s="7"/>
      <c r="D8" s="7"/>
      <c r="E8" s="7"/>
      <c r="F8" s="7">
        <v>0</v>
      </c>
      <c r="G8" s="7" t="s">
        <v>42</v>
      </c>
      <c r="H8" s="7">
        <v>1</v>
      </c>
      <c r="I8" s="7" t="s">
        <v>34</v>
      </c>
      <c r="J8" s="7" t="s">
        <v>31</v>
      </c>
      <c r="K8" s="7"/>
      <c r="L8" s="8">
        <v>79</v>
      </c>
      <c r="M8" s="7">
        <v>53</v>
      </c>
      <c r="N8" s="8">
        <v>29.7</v>
      </c>
      <c r="O8" s="7" t="str">
        <f t="shared" si="8"/>
        <v>BGB-CS-B6254</v>
      </c>
      <c r="P8" s="7" t="s">
        <v>27</v>
      </c>
      <c r="Q8" s="7" t="s">
        <v>27</v>
      </c>
      <c r="R8" s="13"/>
      <c r="S8" s="10" t="s">
        <v>43</v>
      </c>
      <c r="T8" s="7" t="str">
        <f t="shared" si="0"/>
        <v>Profi .625 Big Bore Blasrohr, 4 Fuss,Accueil,Outdoor plus,Blasrohr und Schleudern,Coldsteel,Coldsteel</v>
      </c>
      <c r="U8" s="7" t="str">
        <f t="shared" si="9"/>
        <v>Profi .625 Big Bore Blasrohr, 4 Fuss</v>
      </c>
      <c r="V8" s="7" t="str">
        <f t="shared" si="10"/>
        <v>Profi .625 Big Bore Blasrohr, 4 Fuss,Accueil,Outdoor plus,Blasrohr und Schleudern,Coldsteel,Coldsteel</v>
      </c>
      <c r="W8" s="7">
        <v>1</v>
      </c>
      <c r="X8" s="7">
        <v>1</v>
      </c>
      <c r="Y8" s="7" t="str">
        <f t="shared" si="1"/>
        <v>http://usfh.ch/img/Schleuder_Blasrohr/BGB-CS-B6254.jpg</v>
      </c>
      <c r="Z8" s="7" t="str">
        <f t="shared" si="11"/>
        <v>BGB-CS-B6254</v>
      </c>
      <c r="AA8" s="11">
        <f t="shared" si="12"/>
        <v>0</v>
      </c>
      <c r="AB8" s="11">
        <f t="shared" si="13"/>
        <v>0</v>
      </c>
      <c r="AC8" s="7">
        <v>999</v>
      </c>
    </row>
    <row r="9" spans="1:29" s="12" customFormat="1" ht="15" customHeight="1" x14ac:dyDescent="0.2">
      <c r="A9" s="7">
        <v>8</v>
      </c>
      <c r="B9" s="7"/>
      <c r="C9" s="7"/>
      <c r="D9" s="7"/>
      <c r="E9" s="7"/>
      <c r="F9" s="7">
        <v>2</v>
      </c>
      <c r="G9" s="7" t="s">
        <v>44</v>
      </c>
      <c r="H9" s="7">
        <v>1</v>
      </c>
      <c r="I9" s="7" t="s">
        <v>45</v>
      </c>
      <c r="J9" s="7" t="s">
        <v>31</v>
      </c>
      <c r="K9" s="7"/>
      <c r="L9" s="8">
        <v>109</v>
      </c>
      <c r="M9" s="7">
        <v>53</v>
      </c>
      <c r="N9" s="8">
        <v>49</v>
      </c>
      <c r="O9" s="7" t="str">
        <f t="shared" si="8"/>
        <v>CST-B625TWZ</v>
      </c>
      <c r="P9" s="7" t="s">
        <v>27</v>
      </c>
      <c r="Q9" s="7" t="s">
        <v>27</v>
      </c>
      <c r="R9" s="13"/>
      <c r="S9" s="10" t="s">
        <v>46</v>
      </c>
      <c r="T9" s="7" t="str">
        <f t="shared" si="0"/>
        <v>Tim Wells Signature -Slockmaster- Blasrohr,Accueil,Outdoor plus,Blasrohr und Schleudern,Coldsteel,Coldsteel</v>
      </c>
      <c r="U9" s="7" t="str">
        <f t="shared" si="9"/>
        <v>Tim Wells Signature -Slockmaster- Blasrohr</v>
      </c>
      <c r="V9" s="7" t="str">
        <f t="shared" si="10"/>
        <v>Tim Wells Signature -Slockmaster- Blasrohr,Accueil,Outdoor plus,Blasrohr und Schleudern,Coldsteel,Coldsteel</v>
      </c>
      <c r="W9" s="7">
        <v>1</v>
      </c>
      <c r="X9" s="7">
        <v>1</v>
      </c>
      <c r="Y9" s="7" t="str">
        <f t="shared" si="1"/>
        <v>http://usfh.ch/img/Schleuder_Blasrohr/CST-B625TWZ.jpg</v>
      </c>
      <c r="Z9" s="7" t="str">
        <f t="shared" si="11"/>
        <v>CST-B625TWZ</v>
      </c>
      <c r="AA9" s="11">
        <f t="shared" si="12"/>
        <v>218</v>
      </c>
      <c r="AB9" s="11">
        <f t="shared" si="13"/>
        <v>98</v>
      </c>
      <c r="AC9" s="7">
        <v>0.8</v>
      </c>
    </row>
    <row r="10" spans="1:29" s="12" customFormat="1" ht="15" customHeight="1" x14ac:dyDescent="0.2">
      <c r="A10" s="7">
        <v>9</v>
      </c>
      <c r="B10" s="7"/>
      <c r="C10" s="7"/>
      <c r="D10" s="7"/>
      <c r="E10" s="7"/>
      <c r="F10" s="7">
        <v>0</v>
      </c>
      <c r="G10" s="7">
        <v>40741</v>
      </c>
      <c r="H10" s="7">
        <v>1</v>
      </c>
      <c r="I10" s="7" t="s">
        <v>47</v>
      </c>
      <c r="J10" s="7" t="s">
        <v>31</v>
      </c>
      <c r="K10" s="7"/>
      <c r="L10" s="8">
        <v>35</v>
      </c>
      <c r="M10" s="7">
        <v>53</v>
      </c>
      <c r="N10" s="8">
        <v>14.25</v>
      </c>
      <c r="O10" s="7">
        <f t="shared" si="8"/>
        <v>40741</v>
      </c>
      <c r="P10" s="7" t="s">
        <v>26</v>
      </c>
      <c r="Q10" s="7" t="s">
        <v>26</v>
      </c>
      <c r="R10" s="13">
        <v>4050346407410</v>
      </c>
      <c r="S10" s="10" t="s">
        <v>48</v>
      </c>
      <c r="T10" s="7" t="str">
        <f t="shared" si="0"/>
        <v>Schleuder Silver Sling,Accueil,Outdoor plus,Blasrohr und Schleudern,Haller,Haller</v>
      </c>
      <c r="U10" s="7" t="str">
        <f t="shared" si="9"/>
        <v>Schleuder Silver Sling</v>
      </c>
      <c r="V10" s="7" t="str">
        <f t="shared" si="10"/>
        <v>Schleuder Silver Sling,Accueil,Outdoor plus,Blasrohr und Schleudern,Haller,Haller</v>
      </c>
      <c r="W10" s="7">
        <v>1</v>
      </c>
      <c r="X10" s="7">
        <v>1</v>
      </c>
      <c r="Y10" s="7" t="str">
        <f t="shared" si="1"/>
        <v>http://usfh.ch/img/Schleuder_Blasrohr/40741.jpg</v>
      </c>
      <c r="Z10" s="7">
        <f t="shared" si="11"/>
        <v>40741</v>
      </c>
      <c r="AA10" s="11">
        <f t="shared" si="12"/>
        <v>0</v>
      </c>
      <c r="AB10" s="11">
        <f t="shared" si="13"/>
        <v>0</v>
      </c>
      <c r="AC10" s="7">
        <v>0.3</v>
      </c>
    </row>
    <row r="11" spans="1:29" x14ac:dyDescent="0.2">
      <c r="R11" s="4"/>
      <c r="S11" s="2"/>
    </row>
    <row r="12" spans="1:29" x14ac:dyDescent="0.2">
      <c r="R12" s="4"/>
      <c r="S12" s="2"/>
      <c r="AA12" s="5">
        <f>SUM(AA2:AA10)</f>
        <v>537</v>
      </c>
    </row>
    <row r="13" spans="1:29" x14ac:dyDescent="0.2">
      <c r="R13" s="4"/>
      <c r="S13" s="2"/>
    </row>
    <row r="14" spans="1:29" x14ac:dyDescent="0.2">
      <c r="R14" s="4"/>
      <c r="S14" s="2"/>
    </row>
    <row r="15" spans="1:29" x14ac:dyDescent="0.2">
      <c r="R15" s="4"/>
      <c r="S15" s="2"/>
    </row>
    <row r="16" spans="1:29" x14ac:dyDescent="0.2">
      <c r="R16" s="4"/>
      <c r="S16" s="2"/>
    </row>
    <row r="17" spans="12:19" ht="12" thickBot="1" x14ac:dyDescent="0.25">
      <c r="L17" s="6">
        <f>AA12</f>
        <v>537</v>
      </c>
      <c r="M17" s="6">
        <f>SUM(AB:AB)</f>
        <v>229.45</v>
      </c>
      <c r="R17" s="4"/>
      <c r="S17" s="2"/>
    </row>
    <row r="18" spans="12:19" ht="12" thickTop="1" x14ac:dyDescent="0.2">
      <c r="R18" s="4"/>
      <c r="S18" s="2"/>
    </row>
    <row r="19" spans="12:19" x14ac:dyDescent="0.2">
      <c r="R19" s="4"/>
      <c r="S19" s="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Schleuder_Blasrohr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Urs Schwendener</cp:lastModifiedBy>
  <cp:lastPrinted>2025-10-08T07:53:50Z</cp:lastPrinted>
  <dcterms:created xsi:type="dcterms:W3CDTF">2023-06-14T13:57:13Z</dcterms:created>
  <dcterms:modified xsi:type="dcterms:W3CDTF">2026-04-25T11:09:48Z</dcterms:modified>
</cp:coreProperties>
</file>