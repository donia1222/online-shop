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K:\Privat\US_FH\web_shop\Neuer shop\Pfeilbogen\"/>
    </mc:Choice>
  </mc:AlternateContent>
  <xr:revisionPtr revIDLastSave="0" documentId="13_ncr:1_{B03E4CA4-6407-4F2A-BE38-9EFA5693058B}" xr6:coauthVersionLast="47" xr6:coauthVersionMax="47" xr10:uidLastSave="{00000000-0000-0000-0000-000000000000}"/>
  <bookViews>
    <workbookView xWindow="-120" yWindow="-120" windowWidth="29040" windowHeight="15720" tabRatio="884" xr2:uid="{5C413A35-37CD-4FC7-9B0F-E46798A10454}"/>
  </bookViews>
  <sheets>
    <sheet name="Pfeilbogen" sheetId="1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11" l="1"/>
  <c r="Y4" i="11"/>
  <c r="Y5" i="11"/>
  <c r="Y6" i="11"/>
  <c r="Y7" i="11"/>
  <c r="Y8" i="11"/>
  <c r="Y9" i="11"/>
  <c r="Y10" i="11"/>
  <c r="Y11" i="11"/>
  <c r="Y12" i="11"/>
  <c r="Y13" i="11"/>
  <c r="Y14" i="11"/>
  <c r="Y15" i="11"/>
  <c r="Y16" i="11"/>
  <c r="Y17" i="11"/>
  <c r="Y18" i="11"/>
  <c r="Y19" i="11"/>
  <c r="Y20" i="11"/>
  <c r="Y2" i="11"/>
  <c r="O20" i="11" l="1"/>
  <c r="T20" i="11"/>
  <c r="V20" i="11" s="1"/>
  <c r="U20" i="11"/>
  <c r="Z20" i="11"/>
  <c r="AA20" i="11"/>
  <c r="AB20" i="11"/>
  <c r="O19" i="11" l="1"/>
  <c r="T19" i="11"/>
  <c r="V19" i="11" s="1"/>
  <c r="U19" i="11"/>
  <c r="Z19" i="11"/>
  <c r="AA19" i="11"/>
  <c r="AB19" i="11"/>
  <c r="AB18" i="11" l="1"/>
  <c r="AA18" i="11"/>
  <c r="Z18" i="11"/>
  <c r="U18" i="11"/>
  <c r="T18" i="11"/>
  <c r="V18" i="11" s="1"/>
  <c r="O18" i="11"/>
  <c r="AB17" i="11"/>
  <c r="AA17" i="11"/>
  <c r="Z17" i="11"/>
  <c r="U17" i="11"/>
  <c r="T17" i="11"/>
  <c r="V17" i="11" s="1"/>
  <c r="O17" i="11"/>
  <c r="AB16" i="11"/>
  <c r="AA16" i="11"/>
  <c r="Z16" i="11"/>
  <c r="U16" i="11"/>
  <c r="T16" i="11"/>
  <c r="V16" i="11" s="1"/>
  <c r="O16" i="11"/>
  <c r="AB15" i="11"/>
  <c r="AA15" i="11"/>
  <c r="Z15" i="11"/>
  <c r="U15" i="11"/>
  <c r="T15" i="11"/>
  <c r="V15" i="11" s="1"/>
  <c r="O15" i="11"/>
  <c r="AB14" i="11"/>
  <c r="AA14" i="11"/>
  <c r="Z14" i="11"/>
  <c r="U14" i="11"/>
  <c r="T14" i="11"/>
  <c r="V14" i="11" s="1"/>
  <c r="O14" i="11"/>
  <c r="AB13" i="11"/>
  <c r="AA13" i="11"/>
  <c r="Z13" i="11"/>
  <c r="U13" i="11"/>
  <c r="T13" i="11"/>
  <c r="V13" i="11" s="1"/>
  <c r="O13" i="11"/>
  <c r="AB12" i="11"/>
  <c r="AA12" i="11"/>
  <c r="Z12" i="11"/>
  <c r="U12" i="11"/>
  <c r="T12" i="11"/>
  <c r="V12" i="11" s="1"/>
  <c r="O12" i="11"/>
  <c r="AB11" i="11"/>
  <c r="AA11" i="11"/>
  <c r="Z11" i="11"/>
  <c r="U11" i="11"/>
  <c r="T11" i="11"/>
  <c r="V11" i="11" s="1"/>
  <c r="O11" i="11"/>
  <c r="AB10" i="11"/>
  <c r="AA10" i="11"/>
  <c r="Z10" i="11"/>
  <c r="U10" i="11"/>
  <c r="T10" i="11"/>
  <c r="V10" i="11" s="1"/>
  <c r="O10" i="11"/>
  <c r="AB9" i="11"/>
  <c r="AA9" i="11"/>
  <c r="Z9" i="11"/>
  <c r="U9" i="11"/>
  <c r="T9" i="11"/>
  <c r="V9" i="11" s="1"/>
  <c r="O9" i="11"/>
  <c r="AB8" i="11"/>
  <c r="AA8" i="11"/>
  <c r="Z8" i="11"/>
  <c r="U8" i="11"/>
  <c r="T8" i="11"/>
  <c r="V8" i="11" s="1"/>
  <c r="O8" i="11"/>
  <c r="AB7" i="11"/>
  <c r="AA7" i="11"/>
  <c r="Z7" i="11"/>
  <c r="U7" i="11"/>
  <c r="T7" i="11"/>
  <c r="V7" i="11" s="1"/>
  <c r="O7" i="11"/>
  <c r="AB6" i="11"/>
  <c r="AA6" i="11"/>
  <c r="Z6" i="11"/>
  <c r="U6" i="11"/>
  <c r="T6" i="11"/>
  <c r="V6" i="11" s="1"/>
  <c r="O6" i="11"/>
  <c r="AB5" i="11"/>
  <c r="AA5" i="11"/>
  <c r="Z5" i="11"/>
  <c r="U5" i="11"/>
  <c r="T5" i="11"/>
  <c r="V5" i="11" s="1"/>
  <c r="O5" i="11"/>
  <c r="AB4" i="11"/>
  <c r="AA4" i="11"/>
  <c r="Z4" i="11"/>
  <c r="U4" i="11"/>
  <c r="T4" i="11"/>
  <c r="V4" i="11" s="1"/>
  <c r="O4" i="11"/>
  <c r="AB3" i="11"/>
  <c r="AA3" i="11"/>
  <c r="Z3" i="11"/>
  <c r="U3" i="11"/>
  <c r="T3" i="11"/>
  <c r="V3" i="11" s="1"/>
  <c r="O3" i="11"/>
  <c r="AB2" i="11"/>
  <c r="AA2" i="11"/>
  <c r="Z2" i="11"/>
  <c r="U2" i="11"/>
  <c r="T2" i="11"/>
  <c r="V2" i="11" s="1"/>
  <c r="O2" i="11"/>
  <c r="L27" i="11" l="1"/>
  <c r="M27" i="11"/>
</calcChain>
</file>

<file path=xl/sharedStrings.xml><?xml version="1.0" encoding="utf-8"?>
<sst xmlns="http://schemas.openxmlformats.org/spreadsheetml/2006/main" count="138" uniqueCount="84">
  <si>
    <t>IG</t>
  </si>
  <si>
    <t>BS</t>
  </si>
  <si>
    <t>PÄ</t>
  </si>
  <si>
    <t>GÜ</t>
  </si>
  <si>
    <t>ID</t>
  </si>
  <si>
    <t>Aktiv (0/1)</t>
  </si>
  <si>
    <t>Name</t>
  </si>
  <si>
    <t>Kategorien (x, y, z. ..)</t>
  </si>
  <si>
    <t>Preis zzgl. MwSt.</t>
  </si>
  <si>
    <t>Preis inkl. MwSt.</t>
  </si>
  <si>
    <t>ID Steuersatz</t>
  </si>
  <si>
    <t>Einkaufspreis</t>
  </si>
  <si>
    <t>Artikel-Nr.</t>
  </si>
  <si>
    <t>Lieferant</t>
  </si>
  <si>
    <t>Hersteller</t>
  </si>
  <si>
    <t>EAN 13</t>
  </si>
  <si>
    <t>Beschreibung</t>
  </si>
  <si>
    <t>Stichwörter</t>
  </si>
  <si>
    <t>Meta-Title</t>
  </si>
  <si>
    <t>Meta-Suchworte</t>
  </si>
  <si>
    <t>Bestellbar (0/1)</t>
  </si>
  <si>
    <t>Preis anzeigen (0/1)</t>
  </si>
  <si>
    <t>URLs der Bilder</t>
  </si>
  <si>
    <t>RewriteLink</t>
  </si>
  <si>
    <t>tot. VK</t>
  </si>
  <si>
    <t>tot. EK</t>
  </si>
  <si>
    <t>Haller</t>
  </si>
  <si>
    <t>Lagerbestand</t>
  </si>
  <si>
    <t>Ek Archery</t>
  </si>
  <si>
    <t>SSA</t>
  </si>
  <si>
    <t>Barnett</t>
  </si>
  <si>
    <t>BlackFlash</t>
  </si>
  <si>
    <t>Barnett Vortex Lite Jugend-Compoundbogen, 18-29 lbs</t>
  </si>
  <si>
    <t>Accueil,Outdoor plus,Pfeilbogen,Compound</t>
  </si>
  <si>
    <t xml:space="preserve">Kompakter und leichter Compoundbogen für Einsteiger.
Dieser vielseitige Jugend-Compoundbogen wächst, dank seines einstellbaren Zuggewichts von 19-29 lbs, mit dem jungen Schützen und seinen Ansprüchen mit. Die Module können für eine schnelle und unkomplizierte Änderungen des Zuggewichtes ohne Bogenpresse verstellt werden. Dies ermöglicht eine lange Nutzbarkeit des Bogens.
Praktisches Detail: Die Verpackung kann gleichzeitig als Tasche für einfachen Transport und Lagerung genutzt werden.
Nur in Rechtshandausführung erhältlich! (die rechte Hand zieht die Sehne) 
Spezifikation
Lieferumfang: Bogen, 3-Pin-Visier, 3 Fiberglaspfeile, Anbauköcher, Pfeilauflage
Let Off: 60-70 %
Auszugslänge: 22-25 Zoll (beim Schießen mit einem Release 1 Zoll abziehen)
Zuggewicht: 19-29 lbs
</t>
  </si>
  <si>
    <t>Barnett Vortex Compoundbogen, 19-45 lbs</t>
  </si>
  <si>
    <t>BARNETT Vortex - Compoundbogen - 19-45 lbs
Der leichte und kompakte Compoundbogen Vortex bietet die gleiche, gewohnt hohe Qualität, die man von BARNETT kennt. Er eignet sich aufgrund seiner kleineren Abmessungen ideal für Kinder, Jugendliche und Anfänger. 
Der Bogen verfügt über verstellbare Module für schnelle und unkomplizierte Änderungen des Zuggewichtes im Bereich von 19-45 lbs - und das ohne Bogenpresse.
Die Verpackung kann gleichzeitig als Tasche für den einfachen Transport und eine optimale Lagerung dienen.
Nur als Rechtshandmodell verfügbar.
Technische Daten:
Zuggewicht: 19-45 lbs
Bogenlänge: 27,5 Zoll
Standhöhe: 7,25 Zoll
Auszug: 21-27 Zoll
Breite: 28 3/8 Zoll
Das umfangreiche Set besteht aus: 
Bogen
3 Carbonpfeilen
Anbauköcher
3-Pin-Visier  
Pfeilauflage
Inbusschlüssel-Satz</t>
  </si>
  <si>
    <t>KIC-B-1255</t>
  </si>
  <si>
    <t>Barnett Vortex Hunter Compoundbogen,26"-30"/ 45-60 lbs Camo</t>
  </si>
  <si>
    <t>BARNETT Vortex Hunter - Compoundbogen - 45-60 lbs
Der neue Hunter ist der größte Bogen aus BARNETTs Vortex Reihe und damit ihr krönender Abschluss. Mehr geht nicht!
Mit einem einstellbaren Zuggewicht von 45-60 lbs hat der Bogen ausreichend Kraft für die schwierigsten Ziele und ist dank seiner Abmessungen immernoch einfach zu handhaben, egal ob für Jugendliche oder Erwachsene. 
Der Bogen ist mit geschraubten Modulen ausgestattet, die ein schnelles Einstellen des Auszugs möglich machen. Wie üblich beim Compounds, kann das Zuggewicht des Vortex Hunter über die Wurfarmschrauben justiert werden.
Die Verpackung kann gleichzeitig als Tragetasche für den einfachen Transport und eine optimale Lagerung dienen.
Nur als Rechtshandmodell verfügbar.
Technische Daten:
Zuggewicht: 45-60 lbs
Bogenlänge: 28,5 Zoll
Standhöhe: 7 Zoll
Auszug: 26-30 Zoll
Let Off: 60-70%
Breite: 10 Zoll
Das umfangreiche Set besteht aus: 
Bogen
Anbauköcher für 3 Pfeile
3-Pin-Visier 
Pfeilauflage</t>
  </si>
  <si>
    <t>BPR-C-PULSE-6</t>
  </si>
  <si>
    <t>Recurve Bogen Set Core Pulse</t>
  </si>
  <si>
    <t>Core</t>
  </si>
  <si>
    <t>Der 3-teilige CORE Pulse Recurvebogen mit feiner Holzlaminierung und glasfiberverstärkten Wurfarmen ist in verschiedenen Längen und Zugstärken erhältlich. Er ist bereits mit je einer Visier- und Buttonbuchse (5/16 x 24) ausgestattet und eignet sich gerade für Anfänger hervorragend. Kann aber natürlich auch von jedem anderen Schützen benutzt werden.
Die Wurfarme sind in weiss gehalten und bestehen aus mit Fiberglaslaminat überzogenem Holz.
verfügbare Bogenlängen: 
- 66 Zoll (mit 24 Zoll Mittelstück)
- 68 Zoll (mit 24 Zoll Mittelstück)
verfügbare Zuggewichte: 
20-32 lbs (in 4 lbs Schritten)
Lieferumfang:
- Bogen inkl. Sehne (Dacron)
- Bogentasche
- 3 Pfeile
- Armschutz
- Zielvorrichtung
- Spanngurt
- Pfeilauflage
Bild kann vom Original leicht abweichen</t>
  </si>
  <si>
    <t>CO-034B</t>
  </si>
  <si>
    <t>Ek Buster Compound Bogen Set black</t>
  </si>
  <si>
    <t>PACKAGE INCLUDES
1. HORN RUBBER REST
2. 1-PIN BRASS SIGHT
3. 4-PCS ARROW QUIVER 
4. FINGER ROLLERS
5. 2X 26" FIBERGLASS ARROWS
6. ARMGUARDSPECIFICATIONS
DRAW WEIGHT
15-29 LBS
AXLE TO AXLE
25"</t>
  </si>
  <si>
    <t>CO-034G1</t>
  </si>
  <si>
    <t>Ek Buster Compound Bogen Set camo</t>
  </si>
  <si>
    <t>Ek Axis Compound Bogen camo</t>
  </si>
  <si>
    <t>1. LIMBS：Durable compression fiberglass
2. VIBRATION DAMPENER：Available in various colors for customization
3.RISER：High-grade Aluminum CNC Machined Riser
4.CAM SET：Specialized geometry Adjustable Target Cams, CNC MachinedSPEED
310+ FPS
DRAW WEIGHT
30-70 LBS
AXLE TO AXLE
32"
MASS WEIGHT (BOW ONLY)
3.9 LBS</t>
  </si>
  <si>
    <t>Recurve Bogen weiß 40 lbs</t>
  </si>
  <si>
    <t>Accueil,Outdoor plus,Pfeilbogen,Recurve</t>
  </si>
  <si>
    <t>RE-019</t>
  </si>
  <si>
    <t>Ek Recurve Bogen Set 30Lbs RH</t>
  </si>
  <si>
    <t>Ek Recurve Bogen Set 30Lbs
Farbe	Weiss/Blau
Länge (Zoll)	62
Rechtshand</t>
  </si>
  <si>
    <t>RE-019L</t>
  </si>
  <si>
    <t>Ek Recurve Bogen Set 30Lbs LH</t>
  </si>
  <si>
    <t>Ek Recurve Bogen Set 30Lbs
Farbe	Weiss/Blau
Länge (Zoll)	62
Linkshand</t>
  </si>
  <si>
    <t>A055127</t>
  </si>
  <si>
    <t>BOGENSET RECURVE BEGINNER HIT 62" RH 18LBS</t>
  </si>
  <si>
    <t>Einsteigerbogenset von Core &amp; Avalon. Bogenset enthält Bogen, Zubehör und Pfeile. Ein tolles Starterpaket für Jung und Alt. Fügen Sie ein Ziel hinzu und Sie können schießen! Riser und Wurfarme stammen aus der Core Hit Produktlinie. Erhältlich in verschiedenen Größen und Gewichten, LH oder RH. Im Lieferumfang enthaltenes Zubehör ist:Einsteigerbogenset von Core &amp; Avalon.
Bogenset enthält Bogen, Zubehör und Pfeile.
Ein tolles Starterpaket für Jung und Alt.
Fügen Sie ein Ziel hinzu und Sie können schießen!
Riser und Wurfarme stammen aus der Core Hit Produktlinie.
Erhältlich in verschiedenen Größen und Gewichten, LH oder RH.
Im Lieferumfang enthaltenes Zubehör ist: Sehenswürdigkeit ( A026435 ), string mit fingerprotector ( A040437 ), Pfeilauflage ( A032024 ), Armschutz ( A031584 ), Spannschnur ( A021849 ), 3x Carbonpfeile ( A031034 ), weicher Fall ( A048323 ).</t>
  </si>
  <si>
    <t>A055130</t>
  </si>
  <si>
    <t>BOGENSET RECURVE BEGINNER HIT 66" RH 24LBS</t>
  </si>
  <si>
    <t>A055132</t>
  </si>
  <si>
    <t>BOGENSET RECURVE BEGINNER HIT 66" RH 30LBS</t>
  </si>
  <si>
    <t>A055134</t>
  </si>
  <si>
    <t>BOGENSET RECURVE BEGINNER HIT 68" RH 24LBS</t>
  </si>
  <si>
    <t>A055136</t>
  </si>
  <si>
    <t>BOGENSET RECURVE BEGINNER HIT 68" RH 30LBS</t>
  </si>
  <si>
    <t>CO-029M</t>
  </si>
  <si>
    <t>Ek Buster Compound Bogen Set Rex Totenkopf Camo 15-55LBS</t>
  </si>
  <si>
    <t>Ek Archery - Rex Totenkopf Camo
Details:
Pfeilgeschwindigkeit: 230 fps
Zuggewicht: 15 - 55 lbs (6.8 - 24.9 kg)
Achse zu Achse: 71.12 cm (28")
Gewicht: 1451 g
Lieferumfang:
1 x Rex Skull Camo Compoundbogen
1 x Whisker Biscuit Pfeilauflage
1 x 3-Punktvisier
1 x Köcher für 3 Pfeile
2 x 2018 - 30" Aluminiumpfeile
1 x Peep-Visier</t>
  </si>
  <si>
    <t>Ek Axis Compound Bogen black</t>
  </si>
  <si>
    <t>A069878</t>
  </si>
  <si>
    <t>Fiberglasbogen Snake 50" 16LBS</t>
  </si>
  <si>
    <t>Rolan</t>
  </si>
  <si>
    <t>Fiberglas-Recurve für Jugendliche.
"Ready-to-Shoot“-Beidhändig
Neuer, ergonomischer Griff mit integrierter Pfeilauflage
Beidhändig tragbarer Bogen mit regelmäßiger, einheitlicher Form für ein reaktionsschnelles, flexibles Gefühl
100 % recycelbar: Monomaterialbogen ohne zusätzliche Markierungen
Beständig gegen Feuchtigkeit und die schwierigen Bedingungen des Outdoor-Bogenschiessens
Perfekt geeignet für lange Auszugslängen
Der Bogen kommt inklusive Sehne und Pfeilauflage.
Bogenlänge: 50"
Zuggewicht: 16
für Rechts- und Linkshänder
Gewicht: 0.80Kg. 
Material:Plastic
Brand:Rolan
Bogenlänge:50 "
Zugstärke:16 lbs
Kinder und Jugendliche</t>
  </si>
  <si>
    <t>BOGENSET RECURVE BEGINNER HIT 54" RH 14LBS</t>
  </si>
  <si>
    <t>Einsteigerbogenset von Core &amp; Avalon. Bogenset enthält Bogen, Zubehör und Pfeile. Ein tolles Starterpaket für Jung und Alt. Fügen Sie ein Ziel hinzu und Sie können schießen! Riser und Wurfarme stammen aus der Core Hit Produktlinie. Erhältlich in verschiedenen Größen und Gewichten, LH oder RH. Im Lieferumfang enthaltenes Zubehör ist:Einsteigerbogenset von Core &amp; Avalon.
Bogenset enthält Bogen, Zubehör und Pfeile.
Ein tolles Starterpaket für Jung und Alt.
Fügen Sie ein Ziel hinzu und Sie können schießen!
Riser und Wurfarme stammen aus der Core Hit Produktlinie.
Erhältlich in verschiedenen Größen und Gewichten, LH oder RH.
Im Lieferumfang enthaltenes Zubehör ist: Sehenswürdigkeit ( A026435 ), string mit fingerprotector ( A040437 ), Pfeilauflage ( A032024 ), Armschutz ( A031584 ), Spannschnur ( A021849 ), 3x Carbonpfeile ( A031034 ), weicher Fall ( A048323 ).
"Ready-to-Shoot“-Beidhändig
Neuer, ergonomischer Griff mit integrierter Pfeilauflage
Beidhändig tragbarer Bogen mit regelmäßiger, einheitlicher Form für ein reaktionsschnelles, flexibles Gefühl
100 % recycelbar: Monomaterialbogen ohne zusätzliche Markierungen
Beständig gegen Feuchtigkeit und die schwierigen Bedingungen des Outdoor-Bogenschiessens
Perfekt geeignet für lange Auszugslängen
Der Bogen kommt inklusive Sehne und Pfeilauflage.
Bogenlänge: 50"
Zuggewicht: 16
für Rechts- und Linkshänder
Gewicht: 0.80Kg. 
Material:Plastic
Brand:Rolan
Bogenlänge:50 "
Zugstärke:16 lbs
Kinder und Jugendliche</t>
  </si>
  <si>
    <t>A055125</t>
  </si>
  <si>
    <t>CO-039FP</t>
  </si>
  <si>
    <t>CO-039BP</t>
  </si>
  <si>
    <t>Gewicht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</si>
</sst>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CHF&quot;\ * #,##0.00_ ;_ &quot;CHF&quot;\ * \-#,##0.00_ ;_ &quot;CHF&quot;\ * &quot;-&quot;??_ ;_ @_ "/>
    <numFmt numFmtId="164" formatCode="_ &quot;Fr.&quot;\ * #,##0.00_ ;_ &quot;Fr.&quot;\ * \-#,##0.00_ ;_ &quot;Fr.&quot;\ * &quot;-&quot;??_ ;_ @_ "/>
    <numFmt numFmtId="165" formatCode="_ &quot;Fr.&quot;\ * #\'##0.00_ ;_ &quot;Fr.&quot;\ * \-#\'##0.00_ ;_ &quot;Fr.&quot;\ * &quot;-&quot;??_ ;_ @_ "/>
    <numFmt numFmtId="166" formatCode="_-* #,##0.00\ &quot;€&quot;_-;\-* #,##0.00\ &quot;€&quot;_-;_-* &quot;-&quot;??\ &quot;€&quot;_-;_-@_-"/>
  </numFmts>
  <fonts count="6" x14ac:knownFonts="1">
    <font>
      <sz val="11"/>
      <color theme="1"/>
      <name val="Calibri"/>
      <family val="2"/>
      <scheme val="minor"/>
    </font>
    <font>
      <sz val="11"/>
      <color theme="1"/>
      <name val="Calibri"/>
      <family val="2"/>
      <scheme val="minor"/>
    </font>
    <font>
      <sz val="8"/>
      <color theme="1"/>
      <name val="Calibri"/>
      <family val="2"/>
      <scheme val="minor"/>
    </font>
    <font>
      <sz val="8"/>
      <name val="Calibri"/>
      <family val="2"/>
      <scheme val="minor"/>
    </font>
    <font>
      <b/>
      <sz val="8"/>
      <color theme="1"/>
      <name val="Calibri"/>
      <family val="2"/>
      <scheme val="minor"/>
    </font>
    <font>
      <sz val="11"/>
      <color indexed="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9">
    <xf numFmtId="0" fontId="0" fillId="0" borderId="0"/>
    <xf numFmtId="4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 fillId="0" borderId="0"/>
    <xf numFmtId="166" fontId="1" fillId="0" borderId="0" applyFont="0" applyFill="0" applyBorder="0" applyAlignment="0" applyProtection="0"/>
    <xf numFmtId="164" fontId="1" fillId="0" borderId="0" applyFont="0" applyFill="0" applyBorder="0" applyAlignment="0" applyProtection="0"/>
  </cellStyleXfs>
  <cellXfs count="12">
    <xf numFmtId="0" fontId="0" fillId="0" borderId="0" xfId="0"/>
    <xf numFmtId="0" fontId="2" fillId="0" borderId="0" xfId="0" applyFont="1"/>
    <xf numFmtId="0" fontId="2" fillId="0" borderId="0" xfId="1" applyNumberFormat="1" applyFont="1"/>
    <xf numFmtId="164" fontId="4" fillId="0" borderId="2" xfId="0" applyNumberFormat="1" applyFont="1" applyBorder="1"/>
    <xf numFmtId="0" fontId="3" fillId="0" borderId="1" xfId="0" applyFont="1" applyBorder="1"/>
    <xf numFmtId="0" fontId="3" fillId="0" borderId="1" xfId="1" applyNumberFormat="1" applyFont="1" applyFill="1" applyBorder="1"/>
    <xf numFmtId="0" fontId="3" fillId="0" borderId="1" xfId="0" applyFont="1" applyBorder="1" applyAlignment="1">
      <alignment wrapText="1"/>
    </xf>
    <xf numFmtId="164" fontId="3" fillId="0" borderId="1" xfId="0" applyNumberFormat="1" applyFont="1" applyBorder="1"/>
    <xf numFmtId="0" fontId="3" fillId="0" borderId="0" xfId="0" applyFont="1"/>
    <xf numFmtId="1" fontId="3" fillId="0" borderId="1" xfId="0" applyNumberFormat="1" applyFont="1" applyBorder="1"/>
    <xf numFmtId="0" fontId="3" fillId="0" borderId="1" xfId="0" applyFont="1" applyBorder="1" applyAlignment="1">
      <alignment horizontal="center"/>
    </xf>
    <xf numFmtId="0" fontId="3" fillId="0" borderId="0" xfId="1" applyNumberFormat="1" applyFont="1" applyFill="1"/>
  </cellXfs>
  <cellStyles count="9">
    <cellStyle name="Standard" xfId="0" builtinId="0"/>
    <cellStyle name="Standard 2" xfId="6" xr:uid="{C6348820-8E85-46B0-B5EA-02FBCCC211A6}"/>
    <cellStyle name="Währung" xfId="1" builtinId="4"/>
    <cellStyle name="Währung 2" xfId="2" xr:uid="{2C27D4A0-A690-47D6-B132-4162D3A33498}"/>
    <cellStyle name="Währung 2 2 2" xfId="5" xr:uid="{221F709C-A724-4FAC-8B45-DAED25DA39F4}"/>
    <cellStyle name="Währung 3" xfId="7" xr:uid="{C0C77DBA-CD89-4C03-8F36-3D35C141A5BC}"/>
    <cellStyle name="Währung 4" xfId="3" xr:uid="{5EB333DD-41A7-4E88-B4BE-60A0FCF2B9CF}"/>
    <cellStyle name="Währung 5" xfId="4" xr:uid="{8D67345A-E7A7-41B4-B6D6-95B6527A21B7}"/>
    <cellStyle name="Währung 6" xfId="8" xr:uid="{0D1948EC-F3CB-43D7-9391-D258E99699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9C8D8-A024-4FFB-8703-3E4028CA6287}">
  <sheetPr codeName="Tabelle9"/>
  <dimension ref="A1:AC28"/>
  <sheetViews>
    <sheetView tabSelected="1" workbookViewId="0">
      <selection activeCell="A2" sqref="A2:A20"/>
    </sheetView>
  </sheetViews>
  <sheetFormatPr baseColWidth="10" defaultColWidth="11.42578125" defaultRowHeight="11.25" x14ac:dyDescent="0.2"/>
  <cols>
    <col min="1" max="1" width="4.5703125" style="1" bestFit="1" customWidth="1"/>
    <col min="2" max="2" width="2.42578125" style="1" bestFit="1" customWidth="1"/>
    <col min="3" max="3" width="2.5703125" style="1" bestFit="1" customWidth="1"/>
    <col min="4" max="4" width="2.7109375" style="1" bestFit="1" customWidth="1"/>
    <col min="5" max="5" width="3" style="1" bestFit="1" customWidth="1"/>
    <col min="6" max="6" width="10.28515625" style="1" bestFit="1" customWidth="1"/>
    <col min="7" max="7" width="10.5703125" style="1" bestFit="1" customWidth="1"/>
    <col min="8" max="8" width="7.7109375" style="1" bestFit="1" customWidth="1"/>
    <col min="9" max="9" width="45" style="1" bestFit="1" customWidth="1"/>
    <col min="10" max="10" width="25" style="1" customWidth="1"/>
    <col min="11" max="11" width="11.85546875" style="1" bestFit="1" customWidth="1"/>
    <col min="12" max="12" width="12" style="2" bestFit="1" customWidth="1"/>
    <col min="13" max="13" width="10" style="1" bestFit="1" customWidth="1"/>
    <col min="14" max="14" width="10.140625" style="2" bestFit="1" customWidth="1"/>
    <col min="15" max="15" width="10.7109375" style="1" bestFit="1" customWidth="1"/>
    <col min="16" max="16" width="8.140625" style="1" bestFit="1" customWidth="1"/>
    <col min="17" max="17" width="7.85546875" style="1" bestFit="1" customWidth="1"/>
    <col min="18" max="18" width="12.140625" style="1" bestFit="1" customWidth="1"/>
    <col min="19" max="19" width="253.85546875" style="1" bestFit="1" customWidth="1"/>
    <col min="20" max="20" width="45.85546875" style="1" bestFit="1" customWidth="1"/>
    <col min="21" max="21" width="18.42578125" style="1" bestFit="1" customWidth="1"/>
    <col min="22" max="22" width="45.85546875" style="1" bestFit="1" customWidth="1"/>
    <col min="23" max="23" width="11.5703125" style="1" bestFit="1" customWidth="1"/>
    <col min="24" max="24" width="14.28515625" style="1" bestFit="1" customWidth="1"/>
    <col min="25" max="25" width="29.28515625" style="1" bestFit="1" customWidth="1"/>
    <col min="26" max="26" width="9.140625" style="1" bestFit="1" customWidth="1"/>
    <col min="27" max="27" width="9.85546875" style="1" bestFit="1" customWidth="1"/>
    <col min="28" max="28" width="9.5703125" style="1" bestFit="1" customWidth="1"/>
    <col min="29" max="16384" width="11.42578125" style="1"/>
  </cols>
  <sheetData>
    <row r="1" spans="1:29" s="8" customFormat="1" ht="15" customHeight="1" x14ac:dyDescent="0.2">
      <c r="A1" s="4"/>
      <c r="B1" s="4" t="s">
        <v>0</v>
      </c>
      <c r="C1" s="4" t="s">
        <v>1</v>
      </c>
      <c r="D1" s="4" t="s">
        <v>2</v>
      </c>
      <c r="E1" s="4" t="s">
        <v>3</v>
      </c>
      <c r="F1" s="4" t="s">
        <v>27</v>
      </c>
      <c r="G1" s="4" t="s">
        <v>4</v>
      </c>
      <c r="H1" s="4" t="s">
        <v>5</v>
      </c>
      <c r="I1" s="4" t="s">
        <v>6</v>
      </c>
      <c r="J1" s="4" t="s">
        <v>7</v>
      </c>
      <c r="K1" s="4" t="s">
        <v>8</v>
      </c>
      <c r="L1" s="5" t="s">
        <v>9</v>
      </c>
      <c r="M1" s="4" t="s">
        <v>10</v>
      </c>
      <c r="N1" s="5" t="s">
        <v>11</v>
      </c>
      <c r="O1" s="4" t="s">
        <v>12</v>
      </c>
      <c r="P1" s="4" t="s">
        <v>13</v>
      </c>
      <c r="Q1" s="4" t="s">
        <v>14</v>
      </c>
      <c r="R1" s="4" t="s">
        <v>15</v>
      </c>
      <c r="S1" s="4" t="s">
        <v>16</v>
      </c>
      <c r="T1" s="4" t="s">
        <v>17</v>
      </c>
      <c r="U1" s="4" t="s">
        <v>18</v>
      </c>
      <c r="V1" s="4" t="s">
        <v>19</v>
      </c>
      <c r="W1" s="4" t="s">
        <v>20</v>
      </c>
      <c r="X1" s="4" t="s">
        <v>21</v>
      </c>
      <c r="Y1" s="4" t="s">
        <v>22</v>
      </c>
      <c r="Z1" s="4" t="s">
        <v>23</v>
      </c>
      <c r="AA1" s="4" t="s">
        <v>24</v>
      </c>
      <c r="AB1" s="4" t="s">
        <v>25</v>
      </c>
      <c r="AC1" s="10" t="s">
        <v>83</v>
      </c>
    </row>
    <row r="2" spans="1:29" s="8" customFormat="1" ht="15" customHeight="1" x14ac:dyDescent="0.2">
      <c r="A2" s="4">
        <v>1</v>
      </c>
      <c r="B2" s="4"/>
      <c r="C2" s="4"/>
      <c r="D2" s="4"/>
      <c r="E2" s="4"/>
      <c r="F2" s="4">
        <v>0</v>
      </c>
      <c r="G2" s="4">
        <v>11153</v>
      </c>
      <c r="H2" s="4">
        <v>1</v>
      </c>
      <c r="I2" s="6" t="s">
        <v>32</v>
      </c>
      <c r="J2" s="4" t="s">
        <v>33</v>
      </c>
      <c r="K2" s="4"/>
      <c r="L2" s="5">
        <v>221</v>
      </c>
      <c r="M2" s="4">
        <v>53</v>
      </c>
      <c r="N2" s="5">
        <v>102.3</v>
      </c>
      <c r="O2" s="4">
        <f>G2</f>
        <v>11153</v>
      </c>
      <c r="P2" s="4" t="s">
        <v>31</v>
      </c>
      <c r="Q2" s="4" t="s">
        <v>30</v>
      </c>
      <c r="R2" s="9"/>
      <c r="S2" s="6" t="s">
        <v>34</v>
      </c>
      <c r="T2" s="4" t="str">
        <f>$I2 &amp; "," &amp; $J2 &amp;"," &amp; $P2 &amp;","&amp; $Q2</f>
        <v>Barnett Vortex Lite Jugend-Compoundbogen, 18-29 lbs,Accueil,Outdoor plus,Pfeilbogen,Compound,BlackFlash,Barnett</v>
      </c>
      <c r="U2" s="4" t="str">
        <f t="shared" ref="U2:U18" si="0">I2</f>
        <v>Barnett Vortex Lite Jugend-Compoundbogen, 18-29 lbs</v>
      </c>
      <c r="V2" s="4" t="str">
        <f t="shared" ref="V2:V18" si="1">T2</f>
        <v>Barnett Vortex Lite Jugend-Compoundbogen, 18-29 lbs,Accueil,Outdoor plus,Pfeilbogen,Compound,BlackFlash,Barnett</v>
      </c>
      <c r="W2" s="4">
        <v>1</v>
      </c>
      <c r="X2" s="4">
        <v>1</v>
      </c>
      <c r="Y2" s="4" t="str">
        <f xml:space="preserve"> "http://usfh.ch/img/Pfeilbogen/" &amp; G2 &amp; ".jpg"</f>
        <v>http://usfh.ch/img/Pfeilbogen/11153.jpg</v>
      </c>
      <c r="Z2" s="4">
        <f t="shared" ref="Z2:Z18" si="2">G2</f>
        <v>11153</v>
      </c>
      <c r="AA2" s="7">
        <f t="shared" ref="AA2:AA18" si="3">F2*L2</f>
        <v>0</v>
      </c>
      <c r="AB2" s="7">
        <f t="shared" ref="AB2:AB18" si="4">F2*N2</f>
        <v>0</v>
      </c>
      <c r="AC2" s="4">
        <v>2.1</v>
      </c>
    </row>
    <row r="3" spans="1:29" s="8" customFormat="1" ht="15" customHeight="1" x14ac:dyDescent="0.2">
      <c r="A3" s="4">
        <v>2</v>
      </c>
      <c r="B3" s="4"/>
      <c r="C3" s="4"/>
      <c r="D3" s="4"/>
      <c r="E3" s="4"/>
      <c r="F3" s="4">
        <v>0</v>
      </c>
      <c r="G3" s="4">
        <v>11152</v>
      </c>
      <c r="H3" s="4">
        <v>1</v>
      </c>
      <c r="I3" s="6" t="s">
        <v>35</v>
      </c>
      <c r="J3" s="4" t="s">
        <v>33</v>
      </c>
      <c r="K3" s="4"/>
      <c r="L3" s="5">
        <v>370</v>
      </c>
      <c r="M3" s="4">
        <v>53</v>
      </c>
      <c r="N3" s="5">
        <v>171.3</v>
      </c>
      <c r="O3" s="4">
        <f>G3</f>
        <v>11152</v>
      </c>
      <c r="P3" s="4" t="s">
        <v>31</v>
      </c>
      <c r="Q3" s="4" t="s">
        <v>30</v>
      </c>
      <c r="R3" s="9"/>
      <c r="S3" s="6" t="s">
        <v>36</v>
      </c>
      <c r="T3" s="4" t="str">
        <f>$I3 &amp; "," &amp; $J3 &amp;"," &amp; $P3 &amp;","&amp; $Q3</f>
        <v>Barnett Vortex Compoundbogen, 19-45 lbs,Accueil,Outdoor plus,Pfeilbogen,Compound,BlackFlash,Barnett</v>
      </c>
      <c r="U3" s="4" t="str">
        <f t="shared" si="0"/>
        <v>Barnett Vortex Compoundbogen, 19-45 lbs</v>
      </c>
      <c r="V3" s="4" t="str">
        <f t="shared" si="1"/>
        <v>Barnett Vortex Compoundbogen, 19-45 lbs,Accueil,Outdoor plus,Pfeilbogen,Compound,BlackFlash,Barnett</v>
      </c>
      <c r="W3" s="4">
        <v>1</v>
      </c>
      <c r="X3" s="4">
        <v>1</v>
      </c>
      <c r="Y3" s="4" t="str">
        <f t="shared" ref="Y3:Y20" si="5" xml:space="preserve"> "http://usfh.ch/img/Pfeilbogen/" &amp; G3 &amp; ".jpg"</f>
        <v>http://usfh.ch/img/Pfeilbogen/11152.jpg</v>
      </c>
      <c r="Z3" s="4">
        <f t="shared" si="2"/>
        <v>11152</v>
      </c>
      <c r="AA3" s="7">
        <f t="shared" si="3"/>
        <v>0</v>
      </c>
      <c r="AB3" s="7">
        <f t="shared" si="4"/>
        <v>0</v>
      </c>
      <c r="AC3" s="4">
        <v>2.1</v>
      </c>
    </row>
    <row r="4" spans="1:29" s="8" customFormat="1" ht="15" customHeight="1" x14ac:dyDescent="0.2">
      <c r="A4" s="4">
        <v>3</v>
      </c>
      <c r="B4" s="4"/>
      <c r="C4" s="4"/>
      <c r="D4" s="4"/>
      <c r="E4" s="4"/>
      <c r="F4" s="4">
        <v>0</v>
      </c>
      <c r="G4" s="4" t="s">
        <v>37</v>
      </c>
      <c r="H4" s="4">
        <v>1</v>
      </c>
      <c r="I4" s="6" t="s">
        <v>38</v>
      </c>
      <c r="J4" s="4" t="s">
        <v>33</v>
      </c>
      <c r="K4" s="4"/>
      <c r="L4" s="5">
        <v>399</v>
      </c>
      <c r="M4" s="4">
        <v>53</v>
      </c>
      <c r="N4" s="5">
        <v>187.6</v>
      </c>
      <c r="O4" s="4" t="str">
        <f>G4</f>
        <v>KIC-B-1255</v>
      </c>
      <c r="P4" s="4" t="s">
        <v>29</v>
      </c>
      <c r="Q4" s="4" t="s">
        <v>30</v>
      </c>
      <c r="R4" s="9"/>
      <c r="S4" s="6" t="s">
        <v>39</v>
      </c>
      <c r="T4" s="4" t="str">
        <f t="shared" ref="T4:T20" si="6">$I4 &amp; "," &amp; $J4 &amp;"," &amp; $P4 &amp;","&amp; $Q4</f>
        <v>Barnett Vortex Hunter Compoundbogen,26"-30"/ 45-60 lbs Camo,Accueil,Outdoor plus,Pfeilbogen,Compound,SSA,Barnett</v>
      </c>
      <c r="U4" s="4" t="str">
        <f t="shared" si="0"/>
        <v>Barnett Vortex Hunter Compoundbogen,26"-30"/ 45-60 lbs Camo</v>
      </c>
      <c r="V4" s="4" t="str">
        <f t="shared" si="1"/>
        <v>Barnett Vortex Hunter Compoundbogen,26"-30"/ 45-60 lbs Camo,Accueil,Outdoor plus,Pfeilbogen,Compound,SSA,Barnett</v>
      </c>
      <c r="W4" s="4">
        <v>1</v>
      </c>
      <c r="X4" s="4">
        <v>1</v>
      </c>
      <c r="Y4" s="4" t="str">
        <f t="shared" si="5"/>
        <v>http://usfh.ch/img/Pfeilbogen/KIC-B-1255.jpg</v>
      </c>
      <c r="Z4" s="4" t="str">
        <f t="shared" si="2"/>
        <v>KIC-B-1255</v>
      </c>
      <c r="AA4" s="7">
        <f t="shared" si="3"/>
        <v>0</v>
      </c>
      <c r="AB4" s="7">
        <f t="shared" si="4"/>
        <v>0</v>
      </c>
      <c r="AC4" s="4">
        <v>2.1</v>
      </c>
    </row>
    <row r="5" spans="1:29" s="8" customFormat="1" ht="15" customHeight="1" x14ac:dyDescent="0.2">
      <c r="A5" s="4">
        <v>4</v>
      </c>
      <c r="B5" s="4"/>
      <c r="C5" s="4"/>
      <c r="D5" s="4"/>
      <c r="E5" s="4"/>
      <c r="F5" s="4">
        <v>0</v>
      </c>
      <c r="G5" s="4" t="s">
        <v>40</v>
      </c>
      <c r="H5" s="4">
        <v>1</v>
      </c>
      <c r="I5" s="6" t="s">
        <v>41</v>
      </c>
      <c r="J5" s="4" t="s">
        <v>33</v>
      </c>
      <c r="K5" s="4"/>
      <c r="L5" s="5">
        <v>149</v>
      </c>
      <c r="M5" s="4">
        <v>53</v>
      </c>
      <c r="N5" s="5">
        <v>70</v>
      </c>
      <c r="O5" s="4" t="str">
        <f>G5</f>
        <v>BPR-C-PULSE-6</v>
      </c>
      <c r="P5" s="4" t="s">
        <v>29</v>
      </c>
      <c r="Q5" s="4" t="s">
        <v>42</v>
      </c>
      <c r="R5" s="9"/>
      <c r="S5" s="6" t="s">
        <v>43</v>
      </c>
      <c r="T5" s="4" t="str">
        <f t="shared" si="6"/>
        <v>Recurve Bogen Set Core Pulse,Accueil,Outdoor plus,Pfeilbogen,Compound,SSA,Core</v>
      </c>
      <c r="U5" s="4" t="str">
        <f t="shared" si="0"/>
        <v>Recurve Bogen Set Core Pulse</v>
      </c>
      <c r="V5" s="4" t="str">
        <f t="shared" si="1"/>
        <v>Recurve Bogen Set Core Pulse,Accueil,Outdoor plus,Pfeilbogen,Compound,SSA,Core</v>
      </c>
      <c r="W5" s="4">
        <v>1</v>
      </c>
      <c r="X5" s="4">
        <v>1</v>
      </c>
      <c r="Y5" s="4" t="str">
        <f t="shared" si="5"/>
        <v>http://usfh.ch/img/Pfeilbogen/BPR-C-PULSE-6.jpg</v>
      </c>
      <c r="Z5" s="4" t="str">
        <f t="shared" si="2"/>
        <v>BPR-C-PULSE-6</v>
      </c>
      <c r="AA5" s="7">
        <f t="shared" si="3"/>
        <v>0</v>
      </c>
      <c r="AB5" s="7">
        <f t="shared" si="4"/>
        <v>0</v>
      </c>
      <c r="AC5" s="4">
        <v>2.1</v>
      </c>
    </row>
    <row r="6" spans="1:29" s="8" customFormat="1" ht="15" customHeight="1" x14ac:dyDescent="0.2">
      <c r="A6" s="4">
        <v>5</v>
      </c>
      <c r="B6" s="4"/>
      <c r="C6" s="4"/>
      <c r="D6" s="4"/>
      <c r="E6" s="4"/>
      <c r="F6" s="4">
        <v>2</v>
      </c>
      <c r="G6" s="4" t="s">
        <v>44</v>
      </c>
      <c r="H6" s="4">
        <v>1</v>
      </c>
      <c r="I6" s="6" t="s">
        <v>45</v>
      </c>
      <c r="J6" s="4" t="s">
        <v>33</v>
      </c>
      <c r="K6" s="4"/>
      <c r="L6" s="5">
        <v>149</v>
      </c>
      <c r="M6" s="4">
        <v>53</v>
      </c>
      <c r="N6" s="5">
        <v>40.299999999999997</v>
      </c>
      <c r="O6" s="4" t="str">
        <f>G6</f>
        <v>CO-034B</v>
      </c>
      <c r="P6" s="4" t="s">
        <v>28</v>
      </c>
      <c r="Q6" s="4" t="s">
        <v>28</v>
      </c>
      <c r="R6" s="9"/>
      <c r="S6" s="6" t="s">
        <v>46</v>
      </c>
      <c r="T6" s="4" t="str">
        <f>$I6 &amp; "," &amp; $J6 &amp;"," &amp; $P6 &amp;","&amp; $Q6</f>
        <v>Ek Buster Compound Bogen Set black,Accueil,Outdoor plus,Pfeilbogen,Compound,Ek Archery,Ek Archery</v>
      </c>
      <c r="U6" s="4" t="str">
        <f t="shared" si="0"/>
        <v>Ek Buster Compound Bogen Set black</v>
      </c>
      <c r="V6" s="4" t="str">
        <f t="shared" si="1"/>
        <v>Ek Buster Compound Bogen Set black,Accueil,Outdoor plus,Pfeilbogen,Compound,Ek Archery,Ek Archery</v>
      </c>
      <c r="W6" s="4">
        <v>1</v>
      </c>
      <c r="X6" s="4">
        <v>1</v>
      </c>
      <c r="Y6" s="4" t="str">
        <f t="shared" si="5"/>
        <v>http://usfh.ch/img/Pfeilbogen/CO-034B.jpg</v>
      </c>
      <c r="Z6" s="4" t="str">
        <f t="shared" si="2"/>
        <v>CO-034B</v>
      </c>
      <c r="AA6" s="7">
        <f t="shared" si="3"/>
        <v>298</v>
      </c>
      <c r="AB6" s="7">
        <f t="shared" si="4"/>
        <v>80.599999999999994</v>
      </c>
      <c r="AC6" s="4">
        <v>2.1</v>
      </c>
    </row>
    <row r="7" spans="1:29" s="8" customFormat="1" ht="15" customHeight="1" x14ac:dyDescent="0.2">
      <c r="A7" s="4">
        <v>6</v>
      </c>
      <c r="B7" s="4"/>
      <c r="C7" s="4"/>
      <c r="D7" s="4"/>
      <c r="E7" s="4"/>
      <c r="F7" s="4">
        <v>2</v>
      </c>
      <c r="G7" s="4" t="s">
        <v>47</v>
      </c>
      <c r="H7" s="4">
        <v>1</v>
      </c>
      <c r="I7" s="6" t="s">
        <v>48</v>
      </c>
      <c r="J7" s="4" t="s">
        <v>33</v>
      </c>
      <c r="K7" s="4"/>
      <c r="L7" s="5">
        <v>169</v>
      </c>
      <c r="M7" s="4">
        <v>53</v>
      </c>
      <c r="N7" s="5">
        <v>47.5</v>
      </c>
      <c r="O7" s="4" t="str">
        <f t="shared" ref="O7:O18" si="7">G7</f>
        <v>CO-034G1</v>
      </c>
      <c r="P7" s="4" t="s">
        <v>28</v>
      </c>
      <c r="Q7" s="4" t="s">
        <v>28</v>
      </c>
      <c r="R7" s="9"/>
      <c r="S7" s="6" t="s">
        <v>46</v>
      </c>
      <c r="T7" s="4" t="str">
        <f t="shared" si="6"/>
        <v>Ek Buster Compound Bogen Set camo,Accueil,Outdoor plus,Pfeilbogen,Compound,Ek Archery,Ek Archery</v>
      </c>
      <c r="U7" s="4" t="str">
        <f t="shared" si="0"/>
        <v>Ek Buster Compound Bogen Set camo</v>
      </c>
      <c r="V7" s="4" t="str">
        <f t="shared" si="1"/>
        <v>Ek Buster Compound Bogen Set camo,Accueil,Outdoor plus,Pfeilbogen,Compound,Ek Archery,Ek Archery</v>
      </c>
      <c r="W7" s="4">
        <v>1</v>
      </c>
      <c r="X7" s="4">
        <v>1</v>
      </c>
      <c r="Y7" s="4" t="str">
        <f t="shared" si="5"/>
        <v>http://usfh.ch/img/Pfeilbogen/CO-034G1.jpg</v>
      </c>
      <c r="Z7" s="4" t="str">
        <f t="shared" si="2"/>
        <v>CO-034G1</v>
      </c>
      <c r="AA7" s="7">
        <f t="shared" si="3"/>
        <v>338</v>
      </c>
      <c r="AB7" s="7">
        <f t="shared" si="4"/>
        <v>95</v>
      </c>
      <c r="AC7" s="4">
        <v>2.1</v>
      </c>
    </row>
    <row r="8" spans="1:29" s="8" customFormat="1" ht="15" customHeight="1" x14ac:dyDescent="0.2">
      <c r="A8" s="4">
        <v>7</v>
      </c>
      <c r="B8" s="4"/>
      <c r="C8" s="4"/>
      <c r="D8" s="4"/>
      <c r="E8" s="4"/>
      <c r="F8" s="4">
        <v>1</v>
      </c>
      <c r="G8" s="4" t="s">
        <v>81</v>
      </c>
      <c r="H8" s="4">
        <v>1</v>
      </c>
      <c r="I8" s="6" t="s">
        <v>49</v>
      </c>
      <c r="J8" s="4" t="s">
        <v>33</v>
      </c>
      <c r="K8" s="4"/>
      <c r="L8" s="5">
        <v>459</v>
      </c>
      <c r="M8" s="4">
        <v>53</v>
      </c>
      <c r="N8" s="5">
        <v>229</v>
      </c>
      <c r="O8" s="4" t="str">
        <f t="shared" si="7"/>
        <v>CO-039FP</v>
      </c>
      <c r="P8" s="4" t="s">
        <v>28</v>
      </c>
      <c r="Q8" s="4" t="s">
        <v>28</v>
      </c>
      <c r="R8" s="9"/>
      <c r="S8" s="6" t="s">
        <v>50</v>
      </c>
      <c r="T8" s="4" t="str">
        <f t="shared" si="6"/>
        <v>Ek Axis Compound Bogen camo,Accueil,Outdoor plus,Pfeilbogen,Compound,Ek Archery,Ek Archery</v>
      </c>
      <c r="U8" s="4" t="str">
        <f t="shared" si="0"/>
        <v>Ek Axis Compound Bogen camo</v>
      </c>
      <c r="V8" s="4" t="str">
        <f t="shared" si="1"/>
        <v>Ek Axis Compound Bogen camo,Accueil,Outdoor plus,Pfeilbogen,Compound,Ek Archery,Ek Archery</v>
      </c>
      <c r="W8" s="4">
        <v>1</v>
      </c>
      <c r="X8" s="4">
        <v>1</v>
      </c>
      <c r="Y8" s="4" t="str">
        <f t="shared" si="5"/>
        <v>http://usfh.ch/img/Pfeilbogen/CO-039FP.jpg</v>
      </c>
      <c r="Z8" s="4" t="str">
        <f t="shared" si="2"/>
        <v>CO-039FP</v>
      </c>
      <c r="AA8" s="7">
        <f t="shared" si="3"/>
        <v>459</v>
      </c>
      <c r="AB8" s="7">
        <f t="shared" si="4"/>
        <v>229</v>
      </c>
      <c r="AC8" s="4">
        <v>2.1</v>
      </c>
    </row>
    <row r="9" spans="1:29" s="8" customFormat="1" ht="15" customHeight="1" x14ac:dyDescent="0.2">
      <c r="A9" s="4">
        <v>8</v>
      </c>
      <c r="B9" s="4"/>
      <c r="C9" s="4"/>
      <c r="D9" s="4"/>
      <c r="E9" s="4"/>
      <c r="F9" s="4">
        <v>0</v>
      </c>
      <c r="G9" s="4">
        <v>33032</v>
      </c>
      <c r="H9" s="4">
        <v>1</v>
      </c>
      <c r="I9" s="6" t="s">
        <v>51</v>
      </c>
      <c r="J9" s="4" t="s">
        <v>52</v>
      </c>
      <c r="K9" s="4"/>
      <c r="L9" s="5">
        <v>179</v>
      </c>
      <c r="M9" s="4">
        <v>53</v>
      </c>
      <c r="N9" s="5">
        <v>75</v>
      </c>
      <c r="O9" s="4">
        <f t="shared" si="7"/>
        <v>33032</v>
      </c>
      <c r="P9" s="4" t="s">
        <v>26</v>
      </c>
      <c r="Q9" s="4" t="s">
        <v>26</v>
      </c>
      <c r="R9" s="9">
        <v>4050346330329</v>
      </c>
      <c r="S9" s="6"/>
      <c r="T9" s="4" t="str">
        <f t="shared" si="6"/>
        <v>Recurve Bogen weiß 40 lbs,Accueil,Outdoor plus,Pfeilbogen,Recurve,Haller,Haller</v>
      </c>
      <c r="U9" s="4" t="str">
        <f t="shared" si="0"/>
        <v>Recurve Bogen weiß 40 lbs</v>
      </c>
      <c r="V9" s="4" t="str">
        <f t="shared" si="1"/>
        <v>Recurve Bogen weiß 40 lbs,Accueil,Outdoor plus,Pfeilbogen,Recurve,Haller,Haller</v>
      </c>
      <c r="W9" s="4">
        <v>1</v>
      </c>
      <c r="X9" s="4">
        <v>1</v>
      </c>
      <c r="Y9" s="4" t="str">
        <f t="shared" si="5"/>
        <v>http://usfh.ch/img/Pfeilbogen/33032.jpg</v>
      </c>
      <c r="Z9" s="4">
        <f t="shared" si="2"/>
        <v>33032</v>
      </c>
      <c r="AA9" s="7">
        <f t="shared" si="3"/>
        <v>0</v>
      </c>
      <c r="AB9" s="7">
        <f t="shared" si="4"/>
        <v>0</v>
      </c>
      <c r="AC9" s="4">
        <v>2.1</v>
      </c>
    </row>
    <row r="10" spans="1:29" s="8" customFormat="1" ht="15" customHeight="1" x14ac:dyDescent="0.2">
      <c r="A10" s="4">
        <v>9</v>
      </c>
      <c r="B10" s="4"/>
      <c r="C10" s="4"/>
      <c r="D10" s="4"/>
      <c r="E10" s="4"/>
      <c r="F10" s="4">
        <v>0</v>
      </c>
      <c r="G10" s="4" t="s">
        <v>53</v>
      </c>
      <c r="H10" s="4">
        <v>1</v>
      </c>
      <c r="I10" s="6" t="s">
        <v>54</v>
      </c>
      <c r="J10" s="4" t="s">
        <v>52</v>
      </c>
      <c r="K10" s="4"/>
      <c r="L10" s="5">
        <v>139</v>
      </c>
      <c r="M10" s="4">
        <v>53</v>
      </c>
      <c r="N10" s="5">
        <v>55</v>
      </c>
      <c r="O10" s="4" t="str">
        <f t="shared" si="7"/>
        <v>RE-019</v>
      </c>
      <c r="P10" s="4" t="s">
        <v>28</v>
      </c>
      <c r="Q10" s="4" t="s">
        <v>28</v>
      </c>
      <c r="R10" s="9"/>
      <c r="S10" s="6" t="s">
        <v>55</v>
      </c>
      <c r="T10" s="4" t="str">
        <f t="shared" si="6"/>
        <v>Ek Recurve Bogen Set 30Lbs RH,Accueil,Outdoor plus,Pfeilbogen,Recurve,Ek Archery,Ek Archery</v>
      </c>
      <c r="U10" s="4" t="str">
        <f t="shared" si="0"/>
        <v>Ek Recurve Bogen Set 30Lbs RH</v>
      </c>
      <c r="V10" s="4" t="str">
        <f t="shared" si="1"/>
        <v>Ek Recurve Bogen Set 30Lbs RH,Accueil,Outdoor plus,Pfeilbogen,Recurve,Ek Archery,Ek Archery</v>
      </c>
      <c r="W10" s="4">
        <v>1</v>
      </c>
      <c r="X10" s="4">
        <v>1</v>
      </c>
      <c r="Y10" s="4" t="str">
        <f t="shared" si="5"/>
        <v>http://usfh.ch/img/Pfeilbogen/RE-019.jpg</v>
      </c>
      <c r="Z10" s="4" t="str">
        <f t="shared" si="2"/>
        <v>RE-019</v>
      </c>
      <c r="AA10" s="7">
        <f t="shared" si="3"/>
        <v>0</v>
      </c>
      <c r="AB10" s="7">
        <f t="shared" si="4"/>
        <v>0</v>
      </c>
      <c r="AC10" s="4">
        <v>2.1</v>
      </c>
    </row>
    <row r="11" spans="1:29" s="8" customFormat="1" ht="15" customHeight="1" x14ac:dyDescent="0.2">
      <c r="A11" s="4">
        <v>10</v>
      </c>
      <c r="B11" s="4"/>
      <c r="C11" s="4"/>
      <c r="D11" s="4"/>
      <c r="E11" s="4"/>
      <c r="F11" s="4">
        <v>2</v>
      </c>
      <c r="G11" s="4" t="s">
        <v>56</v>
      </c>
      <c r="H11" s="4">
        <v>1</v>
      </c>
      <c r="I11" s="6" t="s">
        <v>57</v>
      </c>
      <c r="J11" s="4" t="s">
        <v>52</v>
      </c>
      <c r="K11" s="4"/>
      <c r="L11" s="5">
        <v>139</v>
      </c>
      <c r="M11" s="4">
        <v>53</v>
      </c>
      <c r="N11" s="5">
        <v>55</v>
      </c>
      <c r="O11" s="4" t="str">
        <f t="shared" si="7"/>
        <v>RE-019L</v>
      </c>
      <c r="P11" s="4" t="s">
        <v>28</v>
      </c>
      <c r="Q11" s="4" t="s">
        <v>28</v>
      </c>
      <c r="R11" s="9"/>
      <c r="S11" s="6" t="s">
        <v>58</v>
      </c>
      <c r="T11" s="4" t="str">
        <f t="shared" si="6"/>
        <v>Ek Recurve Bogen Set 30Lbs LH,Accueil,Outdoor plus,Pfeilbogen,Recurve,Ek Archery,Ek Archery</v>
      </c>
      <c r="U11" s="4" t="str">
        <f t="shared" si="0"/>
        <v>Ek Recurve Bogen Set 30Lbs LH</v>
      </c>
      <c r="V11" s="4" t="str">
        <f t="shared" si="1"/>
        <v>Ek Recurve Bogen Set 30Lbs LH,Accueil,Outdoor plus,Pfeilbogen,Recurve,Ek Archery,Ek Archery</v>
      </c>
      <c r="W11" s="4">
        <v>1</v>
      </c>
      <c r="X11" s="4">
        <v>1</v>
      </c>
      <c r="Y11" s="4" t="str">
        <f t="shared" si="5"/>
        <v>http://usfh.ch/img/Pfeilbogen/RE-019L.jpg</v>
      </c>
      <c r="Z11" s="4" t="str">
        <f t="shared" si="2"/>
        <v>RE-019L</v>
      </c>
      <c r="AA11" s="7">
        <f t="shared" si="3"/>
        <v>278</v>
      </c>
      <c r="AB11" s="7">
        <f t="shared" si="4"/>
        <v>110</v>
      </c>
      <c r="AC11" s="4">
        <v>2.1</v>
      </c>
    </row>
    <row r="12" spans="1:29" s="8" customFormat="1" ht="15" customHeight="1" x14ac:dyDescent="0.2">
      <c r="A12" s="4">
        <v>11</v>
      </c>
      <c r="B12" s="4"/>
      <c r="C12" s="4"/>
      <c r="D12" s="4"/>
      <c r="E12" s="4"/>
      <c r="F12" s="4">
        <v>1</v>
      </c>
      <c r="G12" s="4" t="s">
        <v>59</v>
      </c>
      <c r="H12" s="4">
        <v>1</v>
      </c>
      <c r="I12" s="6" t="s">
        <v>60</v>
      </c>
      <c r="J12" s="4" t="s">
        <v>52</v>
      </c>
      <c r="K12" s="4"/>
      <c r="L12" s="5">
        <v>198</v>
      </c>
      <c r="M12" s="4">
        <v>53</v>
      </c>
      <c r="N12" s="5">
        <v>78.83</v>
      </c>
      <c r="O12" s="4" t="str">
        <f t="shared" si="7"/>
        <v>A055127</v>
      </c>
      <c r="P12" s="4" t="s">
        <v>29</v>
      </c>
      <c r="Q12" s="4" t="s">
        <v>42</v>
      </c>
      <c r="R12" s="9"/>
      <c r="S12" s="6" t="s">
        <v>61</v>
      </c>
      <c r="T12" s="4" t="str">
        <f t="shared" si="6"/>
        <v>BOGENSET RECURVE BEGINNER HIT 62" RH 18LBS,Accueil,Outdoor plus,Pfeilbogen,Recurve,SSA,Core</v>
      </c>
      <c r="U12" s="4" t="str">
        <f t="shared" si="0"/>
        <v>BOGENSET RECURVE BEGINNER HIT 62" RH 18LBS</v>
      </c>
      <c r="V12" s="4" t="str">
        <f t="shared" si="1"/>
        <v>BOGENSET RECURVE BEGINNER HIT 62" RH 18LBS,Accueil,Outdoor plus,Pfeilbogen,Recurve,SSA,Core</v>
      </c>
      <c r="W12" s="4">
        <v>1</v>
      </c>
      <c r="X12" s="4">
        <v>1</v>
      </c>
      <c r="Y12" s="4" t="str">
        <f t="shared" si="5"/>
        <v>http://usfh.ch/img/Pfeilbogen/A055127.jpg</v>
      </c>
      <c r="Z12" s="4" t="str">
        <f t="shared" si="2"/>
        <v>A055127</v>
      </c>
      <c r="AA12" s="7">
        <f t="shared" si="3"/>
        <v>198</v>
      </c>
      <c r="AB12" s="7">
        <f t="shared" si="4"/>
        <v>78.83</v>
      </c>
      <c r="AC12" s="4">
        <v>2.1</v>
      </c>
    </row>
    <row r="13" spans="1:29" s="8" customFormat="1" ht="15" customHeight="1" x14ac:dyDescent="0.2">
      <c r="A13" s="4">
        <v>12</v>
      </c>
      <c r="B13" s="4"/>
      <c r="C13" s="4"/>
      <c r="D13" s="4"/>
      <c r="E13" s="4"/>
      <c r="F13" s="4">
        <v>2</v>
      </c>
      <c r="G13" s="4" t="s">
        <v>62</v>
      </c>
      <c r="H13" s="4">
        <v>1</v>
      </c>
      <c r="I13" s="6" t="s">
        <v>63</v>
      </c>
      <c r="J13" s="4" t="s">
        <v>52</v>
      </c>
      <c r="K13" s="4"/>
      <c r="L13" s="5">
        <v>198</v>
      </c>
      <c r="M13" s="4">
        <v>53</v>
      </c>
      <c r="N13" s="5">
        <v>78.83</v>
      </c>
      <c r="O13" s="4" t="str">
        <f t="shared" si="7"/>
        <v>A055130</v>
      </c>
      <c r="P13" s="4" t="s">
        <v>29</v>
      </c>
      <c r="Q13" s="4" t="s">
        <v>42</v>
      </c>
      <c r="R13" s="9"/>
      <c r="S13" s="6" t="s">
        <v>61</v>
      </c>
      <c r="T13" s="4" t="str">
        <f t="shared" si="6"/>
        <v>BOGENSET RECURVE BEGINNER HIT 66" RH 24LBS,Accueil,Outdoor plus,Pfeilbogen,Recurve,SSA,Core</v>
      </c>
      <c r="U13" s="4" t="str">
        <f t="shared" si="0"/>
        <v>BOGENSET RECURVE BEGINNER HIT 66" RH 24LBS</v>
      </c>
      <c r="V13" s="4" t="str">
        <f t="shared" si="1"/>
        <v>BOGENSET RECURVE BEGINNER HIT 66" RH 24LBS,Accueil,Outdoor plus,Pfeilbogen,Recurve,SSA,Core</v>
      </c>
      <c r="W13" s="4">
        <v>1</v>
      </c>
      <c r="X13" s="4">
        <v>1</v>
      </c>
      <c r="Y13" s="4" t="str">
        <f t="shared" si="5"/>
        <v>http://usfh.ch/img/Pfeilbogen/A055130.jpg</v>
      </c>
      <c r="Z13" s="4" t="str">
        <f t="shared" si="2"/>
        <v>A055130</v>
      </c>
      <c r="AA13" s="7">
        <f t="shared" si="3"/>
        <v>396</v>
      </c>
      <c r="AB13" s="7">
        <f t="shared" si="4"/>
        <v>157.66</v>
      </c>
      <c r="AC13" s="4">
        <v>2.1</v>
      </c>
    </row>
    <row r="14" spans="1:29" s="8" customFormat="1" ht="15" customHeight="1" x14ac:dyDescent="0.2">
      <c r="A14" s="4">
        <v>13</v>
      </c>
      <c r="B14" s="4"/>
      <c r="C14" s="4"/>
      <c r="D14" s="4"/>
      <c r="E14" s="4"/>
      <c r="F14" s="4">
        <v>2</v>
      </c>
      <c r="G14" s="4" t="s">
        <v>64</v>
      </c>
      <c r="H14" s="4">
        <v>1</v>
      </c>
      <c r="I14" s="6" t="s">
        <v>65</v>
      </c>
      <c r="J14" s="4" t="s">
        <v>52</v>
      </c>
      <c r="K14" s="4"/>
      <c r="L14" s="5">
        <v>198</v>
      </c>
      <c r="M14" s="4">
        <v>53</v>
      </c>
      <c r="N14" s="5">
        <v>78.83</v>
      </c>
      <c r="O14" s="4" t="str">
        <f t="shared" si="7"/>
        <v>A055132</v>
      </c>
      <c r="P14" s="4" t="s">
        <v>29</v>
      </c>
      <c r="Q14" s="4" t="s">
        <v>42</v>
      </c>
      <c r="R14" s="9"/>
      <c r="S14" s="6" t="s">
        <v>61</v>
      </c>
      <c r="T14" s="4" t="str">
        <f t="shared" si="6"/>
        <v>BOGENSET RECURVE BEGINNER HIT 66" RH 30LBS,Accueil,Outdoor plus,Pfeilbogen,Recurve,SSA,Core</v>
      </c>
      <c r="U14" s="4" t="str">
        <f t="shared" si="0"/>
        <v>BOGENSET RECURVE BEGINNER HIT 66" RH 30LBS</v>
      </c>
      <c r="V14" s="4" t="str">
        <f t="shared" si="1"/>
        <v>BOGENSET RECURVE BEGINNER HIT 66" RH 30LBS,Accueil,Outdoor plus,Pfeilbogen,Recurve,SSA,Core</v>
      </c>
      <c r="W14" s="4">
        <v>1</v>
      </c>
      <c r="X14" s="4">
        <v>1</v>
      </c>
      <c r="Y14" s="4" t="str">
        <f t="shared" si="5"/>
        <v>http://usfh.ch/img/Pfeilbogen/A055132.jpg</v>
      </c>
      <c r="Z14" s="4" t="str">
        <f t="shared" si="2"/>
        <v>A055132</v>
      </c>
      <c r="AA14" s="7">
        <f t="shared" si="3"/>
        <v>396</v>
      </c>
      <c r="AB14" s="7">
        <f t="shared" si="4"/>
        <v>157.66</v>
      </c>
      <c r="AC14" s="4">
        <v>2.1</v>
      </c>
    </row>
    <row r="15" spans="1:29" s="8" customFormat="1" ht="15" customHeight="1" x14ac:dyDescent="0.2">
      <c r="A15" s="4">
        <v>14</v>
      </c>
      <c r="B15" s="4"/>
      <c r="C15" s="4"/>
      <c r="D15" s="4"/>
      <c r="E15" s="4"/>
      <c r="F15" s="4">
        <v>0</v>
      </c>
      <c r="G15" s="4" t="s">
        <v>66</v>
      </c>
      <c r="H15" s="4">
        <v>1</v>
      </c>
      <c r="I15" s="6" t="s">
        <v>67</v>
      </c>
      <c r="J15" s="4" t="s">
        <v>52</v>
      </c>
      <c r="K15" s="4"/>
      <c r="L15" s="5">
        <v>198</v>
      </c>
      <c r="M15" s="4">
        <v>53</v>
      </c>
      <c r="N15" s="5">
        <v>78.83</v>
      </c>
      <c r="O15" s="4" t="str">
        <f t="shared" si="7"/>
        <v>A055134</v>
      </c>
      <c r="P15" s="4" t="s">
        <v>29</v>
      </c>
      <c r="Q15" s="4" t="s">
        <v>42</v>
      </c>
      <c r="R15" s="9"/>
      <c r="S15" s="6" t="s">
        <v>61</v>
      </c>
      <c r="T15" s="4" t="str">
        <f t="shared" si="6"/>
        <v>BOGENSET RECURVE BEGINNER HIT 68" RH 24LBS,Accueil,Outdoor plus,Pfeilbogen,Recurve,SSA,Core</v>
      </c>
      <c r="U15" s="4" t="str">
        <f t="shared" si="0"/>
        <v>BOGENSET RECURVE BEGINNER HIT 68" RH 24LBS</v>
      </c>
      <c r="V15" s="4" t="str">
        <f t="shared" si="1"/>
        <v>BOGENSET RECURVE BEGINNER HIT 68" RH 24LBS,Accueil,Outdoor plus,Pfeilbogen,Recurve,SSA,Core</v>
      </c>
      <c r="W15" s="4">
        <v>1</v>
      </c>
      <c r="X15" s="4">
        <v>1</v>
      </c>
      <c r="Y15" s="4" t="str">
        <f t="shared" si="5"/>
        <v>http://usfh.ch/img/Pfeilbogen/A055134.jpg</v>
      </c>
      <c r="Z15" s="4" t="str">
        <f t="shared" si="2"/>
        <v>A055134</v>
      </c>
      <c r="AA15" s="7">
        <f t="shared" si="3"/>
        <v>0</v>
      </c>
      <c r="AB15" s="7">
        <f t="shared" si="4"/>
        <v>0</v>
      </c>
      <c r="AC15" s="4">
        <v>2.1</v>
      </c>
    </row>
    <row r="16" spans="1:29" s="8" customFormat="1" ht="15" customHeight="1" x14ac:dyDescent="0.2">
      <c r="A16" s="4">
        <v>15</v>
      </c>
      <c r="B16" s="4"/>
      <c r="C16" s="4"/>
      <c r="D16" s="4"/>
      <c r="E16" s="4"/>
      <c r="F16" s="4">
        <v>0</v>
      </c>
      <c r="G16" s="4" t="s">
        <v>68</v>
      </c>
      <c r="H16" s="4">
        <v>1</v>
      </c>
      <c r="I16" s="6" t="s">
        <v>69</v>
      </c>
      <c r="J16" s="4" t="s">
        <v>52</v>
      </c>
      <c r="K16" s="4"/>
      <c r="L16" s="5">
        <v>198</v>
      </c>
      <c r="M16" s="4">
        <v>53</v>
      </c>
      <c r="N16" s="5">
        <v>78.83</v>
      </c>
      <c r="O16" s="4" t="str">
        <f t="shared" si="7"/>
        <v>A055136</v>
      </c>
      <c r="P16" s="4" t="s">
        <v>29</v>
      </c>
      <c r="Q16" s="4" t="s">
        <v>42</v>
      </c>
      <c r="R16" s="9"/>
      <c r="S16" s="6" t="s">
        <v>61</v>
      </c>
      <c r="T16" s="4" t="str">
        <f t="shared" si="6"/>
        <v>BOGENSET RECURVE BEGINNER HIT 68" RH 30LBS,Accueil,Outdoor plus,Pfeilbogen,Recurve,SSA,Core</v>
      </c>
      <c r="U16" s="4" t="str">
        <f t="shared" si="0"/>
        <v>BOGENSET RECURVE BEGINNER HIT 68" RH 30LBS</v>
      </c>
      <c r="V16" s="4" t="str">
        <f t="shared" si="1"/>
        <v>BOGENSET RECURVE BEGINNER HIT 68" RH 30LBS,Accueil,Outdoor plus,Pfeilbogen,Recurve,SSA,Core</v>
      </c>
      <c r="W16" s="4">
        <v>1</v>
      </c>
      <c r="X16" s="4">
        <v>1</v>
      </c>
      <c r="Y16" s="4" t="str">
        <f t="shared" si="5"/>
        <v>http://usfh.ch/img/Pfeilbogen/A055136.jpg</v>
      </c>
      <c r="Z16" s="4" t="str">
        <f t="shared" si="2"/>
        <v>A055136</v>
      </c>
      <c r="AA16" s="7">
        <f t="shared" si="3"/>
        <v>0</v>
      </c>
      <c r="AB16" s="7">
        <f t="shared" si="4"/>
        <v>0</v>
      </c>
      <c r="AC16" s="4">
        <v>2.1</v>
      </c>
    </row>
    <row r="17" spans="1:29" s="8" customFormat="1" ht="15" customHeight="1" x14ac:dyDescent="0.2">
      <c r="A17" s="4">
        <v>16</v>
      </c>
      <c r="B17" s="4"/>
      <c r="C17" s="4"/>
      <c r="D17" s="4"/>
      <c r="E17" s="4"/>
      <c r="F17" s="4">
        <v>1</v>
      </c>
      <c r="G17" s="4" t="s">
        <v>70</v>
      </c>
      <c r="H17" s="4">
        <v>1</v>
      </c>
      <c r="I17" s="6" t="s">
        <v>71</v>
      </c>
      <c r="J17" s="4" t="s">
        <v>33</v>
      </c>
      <c r="K17" s="4"/>
      <c r="L17" s="5">
        <v>299</v>
      </c>
      <c r="M17" s="4">
        <v>53</v>
      </c>
      <c r="N17" s="5">
        <v>136.5</v>
      </c>
      <c r="O17" s="4" t="str">
        <f t="shared" si="7"/>
        <v>CO-029M</v>
      </c>
      <c r="P17" s="4" t="s">
        <v>28</v>
      </c>
      <c r="Q17" s="4" t="s">
        <v>28</v>
      </c>
      <c r="R17" s="9"/>
      <c r="S17" s="6" t="s">
        <v>72</v>
      </c>
      <c r="T17" s="4" t="str">
        <f t="shared" si="6"/>
        <v>Ek Buster Compound Bogen Set Rex Totenkopf Camo 15-55LBS,Accueil,Outdoor plus,Pfeilbogen,Compound,Ek Archery,Ek Archery</v>
      </c>
      <c r="U17" s="4" t="str">
        <f t="shared" si="0"/>
        <v>Ek Buster Compound Bogen Set Rex Totenkopf Camo 15-55LBS</v>
      </c>
      <c r="V17" s="4" t="str">
        <f t="shared" si="1"/>
        <v>Ek Buster Compound Bogen Set Rex Totenkopf Camo 15-55LBS,Accueil,Outdoor plus,Pfeilbogen,Compound,Ek Archery,Ek Archery</v>
      </c>
      <c r="W17" s="4">
        <v>1</v>
      </c>
      <c r="X17" s="4">
        <v>1</v>
      </c>
      <c r="Y17" s="4" t="str">
        <f t="shared" si="5"/>
        <v>http://usfh.ch/img/Pfeilbogen/CO-029M.jpg</v>
      </c>
      <c r="Z17" s="4" t="str">
        <f t="shared" si="2"/>
        <v>CO-029M</v>
      </c>
      <c r="AA17" s="7">
        <f t="shared" si="3"/>
        <v>299</v>
      </c>
      <c r="AB17" s="7">
        <f t="shared" si="4"/>
        <v>136.5</v>
      </c>
      <c r="AC17" s="4">
        <v>2.1</v>
      </c>
    </row>
    <row r="18" spans="1:29" s="8" customFormat="1" ht="15" customHeight="1" x14ac:dyDescent="0.2">
      <c r="A18" s="4">
        <v>17</v>
      </c>
      <c r="B18" s="4"/>
      <c r="C18" s="4"/>
      <c r="D18" s="4"/>
      <c r="E18" s="4"/>
      <c r="F18" s="4">
        <v>1</v>
      </c>
      <c r="G18" s="4" t="s">
        <v>82</v>
      </c>
      <c r="H18" s="4">
        <v>1</v>
      </c>
      <c r="I18" s="6" t="s">
        <v>73</v>
      </c>
      <c r="J18" s="4" t="s">
        <v>33</v>
      </c>
      <c r="K18" s="4"/>
      <c r="L18" s="5">
        <v>429</v>
      </c>
      <c r="M18" s="4">
        <v>53</v>
      </c>
      <c r="N18" s="5">
        <v>214</v>
      </c>
      <c r="O18" s="4" t="str">
        <f t="shared" si="7"/>
        <v>CO-039BP</v>
      </c>
      <c r="P18" s="4" t="s">
        <v>28</v>
      </c>
      <c r="Q18" s="4" t="s">
        <v>28</v>
      </c>
      <c r="R18" s="9"/>
      <c r="S18" s="6" t="s">
        <v>50</v>
      </c>
      <c r="T18" s="4" t="str">
        <f t="shared" si="6"/>
        <v>Ek Axis Compound Bogen black,Accueil,Outdoor plus,Pfeilbogen,Compound,Ek Archery,Ek Archery</v>
      </c>
      <c r="U18" s="4" t="str">
        <f t="shared" si="0"/>
        <v>Ek Axis Compound Bogen black</v>
      </c>
      <c r="V18" s="4" t="str">
        <f t="shared" si="1"/>
        <v>Ek Axis Compound Bogen black,Accueil,Outdoor plus,Pfeilbogen,Compound,Ek Archery,Ek Archery</v>
      </c>
      <c r="W18" s="4">
        <v>1</v>
      </c>
      <c r="X18" s="4">
        <v>1</v>
      </c>
      <c r="Y18" s="4" t="str">
        <f t="shared" si="5"/>
        <v>http://usfh.ch/img/Pfeilbogen/CO-039BP.jpg</v>
      </c>
      <c r="Z18" s="4" t="str">
        <f t="shared" si="2"/>
        <v>CO-039BP</v>
      </c>
      <c r="AA18" s="7">
        <f t="shared" si="3"/>
        <v>429</v>
      </c>
      <c r="AB18" s="7">
        <f t="shared" si="4"/>
        <v>214</v>
      </c>
      <c r="AC18" s="4">
        <v>2.1</v>
      </c>
    </row>
    <row r="19" spans="1:29" s="8" customFormat="1" ht="15" customHeight="1" x14ac:dyDescent="0.2">
      <c r="A19" s="4">
        <v>18</v>
      </c>
      <c r="B19" s="4"/>
      <c r="C19" s="4"/>
      <c r="D19" s="4"/>
      <c r="E19" s="4"/>
      <c r="F19" s="4">
        <v>1</v>
      </c>
      <c r="G19" s="4" t="s">
        <v>74</v>
      </c>
      <c r="H19" s="4">
        <v>1</v>
      </c>
      <c r="I19" s="6" t="s">
        <v>75</v>
      </c>
      <c r="J19" s="4" t="s">
        <v>52</v>
      </c>
      <c r="K19" s="4"/>
      <c r="L19" s="5">
        <v>129</v>
      </c>
      <c r="M19" s="4">
        <v>53</v>
      </c>
      <c r="N19" s="5">
        <v>54</v>
      </c>
      <c r="O19" s="4" t="str">
        <f t="shared" ref="O19" si="8">G19</f>
        <v>A069878</v>
      </c>
      <c r="P19" s="4" t="s">
        <v>29</v>
      </c>
      <c r="Q19" s="4" t="s">
        <v>76</v>
      </c>
      <c r="R19" s="9"/>
      <c r="S19" s="6" t="s">
        <v>77</v>
      </c>
      <c r="T19" s="4" t="str">
        <f t="shared" si="6"/>
        <v>Fiberglasbogen Snake 50" 16LBS,Accueil,Outdoor plus,Pfeilbogen,Recurve,SSA,Rolan</v>
      </c>
      <c r="U19" s="4" t="str">
        <f t="shared" ref="U19" si="9">I19</f>
        <v>Fiberglasbogen Snake 50" 16LBS</v>
      </c>
      <c r="V19" s="4" t="str">
        <f t="shared" ref="V19" si="10">T19</f>
        <v>Fiberglasbogen Snake 50" 16LBS,Accueil,Outdoor plus,Pfeilbogen,Recurve,SSA,Rolan</v>
      </c>
      <c r="W19" s="4">
        <v>1</v>
      </c>
      <c r="X19" s="4">
        <v>1</v>
      </c>
      <c r="Y19" s="4" t="str">
        <f t="shared" si="5"/>
        <v>http://usfh.ch/img/Pfeilbogen/A069878.jpg</v>
      </c>
      <c r="Z19" s="4" t="str">
        <f t="shared" ref="Z19" si="11">G19</f>
        <v>A069878</v>
      </c>
      <c r="AA19" s="7">
        <f t="shared" ref="AA19" si="12">F19*L19</f>
        <v>129</v>
      </c>
      <c r="AB19" s="7">
        <f t="shared" ref="AB19" si="13">F19*N19</f>
        <v>54</v>
      </c>
      <c r="AC19" s="4">
        <v>999</v>
      </c>
    </row>
    <row r="20" spans="1:29" s="8" customFormat="1" ht="15" customHeight="1" x14ac:dyDescent="0.2">
      <c r="A20" s="4">
        <v>19</v>
      </c>
      <c r="B20" s="4"/>
      <c r="C20" s="4"/>
      <c r="D20" s="4"/>
      <c r="E20" s="4"/>
      <c r="F20" s="4">
        <v>2</v>
      </c>
      <c r="G20" s="4" t="s">
        <v>80</v>
      </c>
      <c r="H20" s="4">
        <v>1</v>
      </c>
      <c r="I20" s="6" t="s">
        <v>78</v>
      </c>
      <c r="J20" s="4" t="s">
        <v>52</v>
      </c>
      <c r="K20" s="4"/>
      <c r="L20" s="5">
        <v>198</v>
      </c>
      <c r="M20" s="4">
        <v>53</v>
      </c>
      <c r="N20" s="5">
        <v>72.680000000000007</v>
      </c>
      <c r="O20" s="4" t="str">
        <f t="shared" ref="O20" si="14">G20</f>
        <v>A055125</v>
      </c>
      <c r="P20" s="4" t="s">
        <v>29</v>
      </c>
      <c r="Q20" s="4" t="s">
        <v>42</v>
      </c>
      <c r="R20" s="9"/>
      <c r="S20" s="6" t="s">
        <v>79</v>
      </c>
      <c r="T20" s="4" t="str">
        <f t="shared" si="6"/>
        <v>BOGENSET RECURVE BEGINNER HIT 54" RH 14LBS,Accueil,Outdoor plus,Pfeilbogen,Recurve,SSA,Core</v>
      </c>
      <c r="U20" s="4" t="str">
        <f t="shared" ref="U20" si="15">I20</f>
        <v>BOGENSET RECURVE BEGINNER HIT 54" RH 14LBS</v>
      </c>
      <c r="V20" s="4" t="str">
        <f t="shared" ref="V20" si="16">T20</f>
        <v>BOGENSET RECURVE BEGINNER HIT 54" RH 14LBS,Accueil,Outdoor plus,Pfeilbogen,Recurve,SSA,Core</v>
      </c>
      <c r="W20" s="4">
        <v>1</v>
      </c>
      <c r="X20" s="4">
        <v>1</v>
      </c>
      <c r="Y20" s="4" t="str">
        <f t="shared" si="5"/>
        <v>http://usfh.ch/img/Pfeilbogen/A055125.jpg</v>
      </c>
      <c r="Z20" s="4" t="str">
        <f t="shared" ref="Z20" si="17">G20</f>
        <v>A055125</v>
      </c>
      <c r="AA20" s="7">
        <f t="shared" ref="AA20" si="18">F20*L20</f>
        <v>396</v>
      </c>
      <c r="AB20" s="7">
        <f t="shared" ref="AB20" si="19">F20*N20</f>
        <v>145.36000000000001</v>
      </c>
      <c r="AC20" s="4">
        <v>2.1</v>
      </c>
    </row>
    <row r="21" spans="1:29" s="8" customFormat="1" ht="15" customHeight="1" x14ac:dyDescent="0.2">
      <c r="A21" s="4"/>
      <c r="B21" s="4"/>
      <c r="C21" s="4"/>
      <c r="D21" s="4"/>
      <c r="E21" s="4"/>
      <c r="F21" s="4"/>
      <c r="G21" s="4"/>
      <c r="H21" s="4"/>
      <c r="I21" s="6"/>
      <c r="J21" s="4"/>
      <c r="K21" s="4"/>
      <c r="L21" s="5"/>
      <c r="M21" s="4"/>
      <c r="N21" s="5"/>
      <c r="O21" s="4"/>
      <c r="P21" s="4"/>
      <c r="Q21" s="4"/>
      <c r="R21" s="9"/>
      <c r="S21" s="6"/>
      <c r="T21" s="4"/>
      <c r="U21" s="4"/>
      <c r="V21" s="4"/>
      <c r="W21" s="4"/>
      <c r="X21" s="4"/>
      <c r="Y21" s="4"/>
      <c r="Z21" s="4"/>
      <c r="AA21" s="7"/>
      <c r="AB21" s="7"/>
      <c r="AC21" s="4">
        <v>2.1</v>
      </c>
    </row>
    <row r="22" spans="1:29" s="8" customFormat="1" x14ac:dyDescent="0.2">
      <c r="L22" s="11"/>
      <c r="N22" s="11"/>
    </row>
    <row r="27" spans="1:29" ht="12" thickBot="1" x14ac:dyDescent="0.25">
      <c r="L27" s="3">
        <f>SUM(AA2:AA24)</f>
        <v>3616</v>
      </c>
      <c r="M27" s="3">
        <f>SUM(AB:AB)</f>
        <v>1458.6100000000001</v>
      </c>
    </row>
    <row r="28" spans="1:29" ht="12" thickTop="1" x14ac:dyDescent="0.2"/>
  </sheetData>
  <phoneticPr fontId="3"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Pfeilbogen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Urs Schwendener</cp:lastModifiedBy>
  <cp:lastPrinted>2025-10-08T07:53:50Z</cp:lastPrinted>
  <dcterms:created xsi:type="dcterms:W3CDTF">2023-06-14T13:57:13Z</dcterms:created>
  <dcterms:modified xsi:type="dcterms:W3CDTF">2026-04-25T11:08:57Z</dcterms:modified>
</cp:coreProperties>
</file>