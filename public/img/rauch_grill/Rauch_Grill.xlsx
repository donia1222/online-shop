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DieseArbeitsmappe" defaultThemeVersion="166925"/>
  <mc:AlternateContent xmlns:mc="http://schemas.openxmlformats.org/markup-compatibility/2006">
    <mc:Choice Requires="x15">
      <x15ac:absPath xmlns:x15ac="http://schemas.microsoft.com/office/spreadsheetml/2010/11/ac" url="K:\Privat\US_FH\web_shop\Neuer shop\Rauch_Grill\"/>
    </mc:Choice>
  </mc:AlternateContent>
  <xr:revisionPtr revIDLastSave="0" documentId="13_ncr:1_{A56BC8C4-DD33-403D-80B2-9881C9EE0D60}" xr6:coauthVersionLast="47" xr6:coauthVersionMax="47" xr10:uidLastSave="{00000000-0000-0000-0000-000000000000}"/>
  <bookViews>
    <workbookView xWindow="-120" yWindow="-120" windowWidth="29040" windowHeight="15720" tabRatio="884" xr2:uid="{5C413A35-37CD-4FC7-9B0F-E46798A10454}"/>
  </bookViews>
  <sheets>
    <sheet name=" Rauch_Grill" sheetId="1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12" l="1"/>
  <c r="U4" i="12"/>
  <c r="U5" i="12"/>
  <c r="U6" i="12"/>
  <c r="U7" i="12"/>
  <c r="U8" i="12"/>
  <c r="U9" i="12"/>
  <c r="U10" i="12"/>
  <c r="U11" i="12"/>
  <c r="U12" i="12"/>
  <c r="U13" i="12"/>
  <c r="U14" i="12"/>
  <c r="U15" i="12"/>
  <c r="U16" i="12"/>
  <c r="U17" i="12"/>
  <c r="U18" i="12"/>
  <c r="U19" i="12"/>
  <c r="U20" i="12"/>
  <c r="U21" i="12"/>
  <c r="U22" i="12"/>
  <c r="U23" i="12"/>
  <c r="U24" i="12"/>
  <c r="U25" i="12"/>
  <c r="U26" i="12"/>
  <c r="U2" i="12"/>
  <c r="X26" i="12" l="1"/>
  <c r="W26" i="12"/>
  <c r="V26" i="12"/>
  <c r="Q26" i="12"/>
  <c r="P26" i="12"/>
  <c r="R26" i="12" s="1"/>
  <c r="K26" i="12"/>
  <c r="X25" i="12"/>
  <c r="W25" i="12"/>
  <c r="V25" i="12"/>
  <c r="Q25" i="12"/>
  <c r="P25" i="12"/>
  <c r="R25" i="12" s="1"/>
  <c r="K25" i="12"/>
  <c r="X24" i="12"/>
  <c r="W24" i="12"/>
  <c r="V24" i="12"/>
  <c r="Q24" i="12"/>
  <c r="P24" i="12"/>
  <c r="R24" i="12" s="1"/>
  <c r="K24" i="12"/>
  <c r="X23" i="12"/>
  <c r="W23" i="12"/>
  <c r="V23" i="12"/>
  <c r="Q23" i="12"/>
  <c r="P23" i="12"/>
  <c r="R23" i="12" s="1"/>
  <c r="K23" i="12"/>
  <c r="X22" i="12"/>
  <c r="W22" i="12"/>
  <c r="V22" i="12"/>
  <c r="Q22" i="12"/>
  <c r="P22" i="12"/>
  <c r="R22" i="12" s="1"/>
  <c r="K22" i="12"/>
  <c r="X21" i="12"/>
  <c r="W21" i="12"/>
  <c r="V21" i="12"/>
  <c r="Q21" i="12"/>
  <c r="P21" i="12"/>
  <c r="R21" i="12" s="1"/>
  <c r="K21" i="12"/>
  <c r="X20" i="12"/>
  <c r="W20" i="12"/>
  <c r="V20" i="12"/>
  <c r="Q20" i="12"/>
  <c r="P20" i="12"/>
  <c r="R20" i="12" s="1"/>
  <c r="K20" i="12"/>
  <c r="X19" i="12"/>
  <c r="W19" i="12"/>
  <c r="V19" i="12"/>
  <c r="Q19" i="12"/>
  <c r="P19" i="12"/>
  <c r="R19" i="12" s="1"/>
  <c r="K19" i="12"/>
  <c r="X18" i="12"/>
  <c r="W18" i="12"/>
  <c r="V18" i="12"/>
  <c r="Q18" i="12"/>
  <c r="P18" i="12"/>
  <c r="R18" i="12" s="1"/>
  <c r="K18" i="12"/>
  <c r="X17" i="12"/>
  <c r="W17" i="12"/>
  <c r="V17" i="12"/>
  <c r="Q17" i="12"/>
  <c r="P17" i="12"/>
  <c r="R17" i="12" s="1"/>
  <c r="K17" i="12"/>
  <c r="X16" i="12"/>
  <c r="W16" i="12"/>
  <c r="V16" i="12"/>
  <c r="Q16" i="12"/>
  <c r="P16" i="12"/>
  <c r="R16" i="12" s="1"/>
  <c r="K16" i="12"/>
  <c r="X15" i="12"/>
  <c r="W15" i="12"/>
  <c r="V15" i="12"/>
  <c r="Q15" i="12"/>
  <c r="P15" i="12"/>
  <c r="R15" i="12" s="1"/>
  <c r="K15" i="12"/>
  <c r="X14" i="12"/>
  <c r="W14" i="12"/>
  <c r="V14" i="12"/>
  <c r="Q14" i="12"/>
  <c r="P14" i="12"/>
  <c r="R14" i="12" s="1"/>
  <c r="K14" i="12"/>
  <c r="X13" i="12"/>
  <c r="W13" i="12"/>
  <c r="V13" i="12"/>
  <c r="Q13" i="12"/>
  <c r="P13" i="12"/>
  <c r="R13" i="12" s="1"/>
  <c r="K13" i="12"/>
  <c r="X12" i="12"/>
  <c r="W12" i="12"/>
  <c r="V12" i="12"/>
  <c r="Q12" i="12"/>
  <c r="P12" i="12"/>
  <c r="R12" i="12" s="1"/>
  <c r="K12" i="12"/>
  <c r="X11" i="12"/>
  <c r="W11" i="12"/>
  <c r="V11" i="12"/>
  <c r="Q11" i="12"/>
  <c r="P11" i="12"/>
  <c r="R11" i="12" s="1"/>
  <c r="K11" i="12"/>
  <c r="X10" i="12"/>
  <c r="W10" i="12"/>
  <c r="V10" i="12"/>
  <c r="Q10" i="12"/>
  <c r="P10" i="12"/>
  <c r="R10" i="12" s="1"/>
  <c r="K10" i="12"/>
  <c r="X9" i="12"/>
  <c r="W9" i="12"/>
  <c r="V9" i="12"/>
  <c r="Q9" i="12"/>
  <c r="P9" i="12"/>
  <c r="R9" i="12" s="1"/>
  <c r="K9" i="12"/>
  <c r="X8" i="12"/>
  <c r="W8" i="12"/>
  <c r="V8" i="12"/>
  <c r="Q8" i="12"/>
  <c r="P8" i="12"/>
  <c r="R8" i="12" s="1"/>
  <c r="K8" i="12"/>
  <c r="X7" i="12"/>
  <c r="W7" i="12"/>
  <c r="V7" i="12"/>
  <c r="Q7" i="12"/>
  <c r="P7" i="12"/>
  <c r="R7" i="12" s="1"/>
  <c r="K7" i="12"/>
  <c r="X6" i="12"/>
  <c r="W6" i="12"/>
  <c r="V6" i="12"/>
  <c r="Q6" i="12"/>
  <c r="P6" i="12"/>
  <c r="R6" i="12" s="1"/>
  <c r="K6" i="12"/>
  <c r="X5" i="12"/>
  <c r="W5" i="12"/>
  <c r="V5" i="12"/>
  <c r="Q5" i="12"/>
  <c r="P5" i="12"/>
  <c r="R5" i="12" s="1"/>
  <c r="K5" i="12"/>
  <c r="X4" i="12"/>
  <c r="W4" i="12"/>
  <c r="V4" i="12"/>
  <c r="Q4" i="12"/>
  <c r="P4" i="12"/>
  <c r="R4" i="12" s="1"/>
  <c r="K4" i="12"/>
  <c r="X3" i="12"/>
  <c r="W3" i="12"/>
  <c r="V3" i="12"/>
  <c r="Q3" i="12"/>
  <c r="P3" i="12"/>
  <c r="R3" i="12" s="1"/>
  <c r="K3" i="12"/>
  <c r="X2" i="12"/>
  <c r="W2" i="12"/>
  <c r="V2" i="12"/>
  <c r="Q2" i="12"/>
  <c r="P2" i="12"/>
  <c r="R2" i="12" s="1"/>
  <c r="K2" i="12"/>
  <c r="H32" i="12" l="1"/>
  <c r="I32" i="12"/>
  <c r="W27" i="12"/>
</calcChain>
</file>

<file path=xl/sharedStrings.xml><?xml version="1.0" encoding="utf-8"?>
<sst xmlns="http://schemas.openxmlformats.org/spreadsheetml/2006/main" count="151" uniqueCount="79">
  <si>
    <t>ID</t>
  </si>
  <si>
    <t>Aktiv (0/1)</t>
  </si>
  <si>
    <t>Name</t>
  </si>
  <si>
    <t>Kategorien (x, y, z. ..)</t>
  </si>
  <si>
    <t>Preis zzgl. MwSt.</t>
  </si>
  <si>
    <t>Preis inkl. MwSt.</t>
  </si>
  <si>
    <t>ID Steuersatz</t>
  </si>
  <si>
    <t>Einkaufspreis</t>
  </si>
  <si>
    <t>Artikel-Nr.</t>
  </si>
  <si>
    <t>Lieferant</t>
  </si>
  <si>
    <t>Hersteller</t>
  </si>
  <si>
    <t>EAN 13</t>
  </si>
  <si>
    <t>Beschreibung</t>
  </si>
  <si>
    <t>Stichwörter</t>
  </si>
  <si>
    <t>Meta-Title</t>
  </si>
  <si>
    <t>Meta-Suchworte</t>
  </si>
  <si>
    <t>Bestellbar (0/1)</t>
  </si>
  <si>
    <t>Preis anzeigen (0/1)</t>
  </si>
  <si>
    <t>URLs der Bilder</t>
  </si>
  <si>
    <t>RewriteLink</t>
  </si>
  <si>
    <t>tot. VK</t>
  </si>
  <si>
    <t>tot. EK</t>
  </si>
  <si>
    <t>Lagerbestand</t>
  </si>
  <si>
    <t>Smoki</t>
  </si>
  <si>
    <t>Räucherofen 100x39x33cm mit Scheibe aus Cr-Edelstahl 1.4016</t>
  </si>
  <si>
    <t>Accueil,Angeln,Räuchern,Räucheröfen</t>
  </si>
  <si>
    <t>Aus poliertem 1.4016 Chrom-Edelstahl mit Scheibe
Maße: H 100 cm, B 39 cm, T 33 cm.
Auf dem Ofen und an der Kohleschublade befindet sich je eine regelbare Belüftungsklappe.
Der Ofen hat stabile Verriegelungen mit abziehbarem Schlüssel (Kindersicherung!).
Einkammersystem, besonders geeignet zum Räuchern mit Holz
Sie können den Räucherofen auch mit unserem Gasbrenner 4,2kW oder unserer Elektroheizung Nr. 103 beheizen
Der Ofen kann in 8 Ebenen mit Fisch, Fleich oder Wurst bestückt werden, eine weitere Ebene ist für das Fettauffangblech 
Sie können Heiß- und Kalträuchern.
Inklusive
Lüftungsschieber oben und an der Kohleschublade
verchromte Tragegriffe
massive Kohleschublade aus Schwarzblech mit Frontblende
Räuchermehlschale
Fettauffangblech
Thermometer 0-120°C
4 Stk. Winkelstäbe zum Einhängen Ihrer Räucherhaken
ausführlicher Bedienungsanleitung mit Rezeptideen
Ausstattungen auf den Photos nur im Lieferumfang, sofern angegeben.
Beachten Sie bitte unser passendes Zubehör für diesen Ofen.</t>
  </si>
  <si>
    <t>Räucherofen 120x39x33cm aus V2A-Edelstahl mit Sichtfenster</t>
  </si>
  <si>
    <t>SMOKI-Räuchertechnik: Handgefertigte Qualität in Serie
Hochwertige Ware aus V2A, Werkstoff 1.4301
Maße: H 120 cm, B 39 cm, T 33 cm
Der Ofen ist standardmäßig ausgestattet mit
regelbaren Rauchabzügen, bzw. Belüftungsklappen an Himmel und Kohleschublade
komplett schließender Glutkasten, damit können Sie auch nur mit Holz ohne Räuchermehl räuchern
umlaufend gekanteter Tür
stabilen Verriegelungen mit abziehbarem Schlüssel (Kindersicherung!)
gelochtem Trennblech zwischen Brenn- und Räucherraum
10 Einschubebenen für Haken, Roste oder Körbe
sie können Heiß- und Kalträuchern.
Sie können direkt unsere Elektroheizung oder unseren Gasbrenner 4,2kW in den Ofen ohne Umbauten einsetzen
Inklusive
Kohleschublade aus Schwarzblech mit Edelstahlblende
Räuchermehlschale
Fettauffangblech
Metall-Thermometer 0-120°C
4 Stk. Winkelbleche zum Einhängen Ihrer Räucherhaken
2 verchromte Tragegriffe
ausführlicher Bedienungsanleitung
Weiteres Zubehör auf Abbildung kann extra bestellt werden und ist nur im Lieferumfang emthalten, sofern angegeben.</t>
  </si>
  <si>
    <t>Räucherofen Smoki 150x39x33 aus V2A-Edelstahl mit Sichtfenster</t>
  </si>
  <si>
    <t>SMOKI-Räuchertechnik: Handgefertigte Qualität in Serie
Made in Germany aus 1.4301 (V2A) Edelstahl.
Serienmäßig ausgerüstet mit:
Kohleschublade aus verzugsreduzierendem Schwarzblech mit Edelstahlblende
Räuchermehlschale
Regelbarem Rauchabzug
Fettauffangblech
Thermometer
4 Stäbe zum Einhängen Ihrer Räucherhaken
2 Tragegriffe
Auf dem Ofen und an der Kohleschublade befinden sich regelbare Rauchabzüge, bzw. Belüftungsklappen.
Der Ofen hat stabile Verriegelungen mit abziehbarem Schlüssel (Kindersicherung!).
An den Seiten befinden sich feste verchromte Tragegriffe. Der Brennraum und Räucherraum sind getrennt, das Trennblech ist gelocht.
Optional können unsere Fischkörbe und Fischroste verwendet werden, es sind 11 Einschubebenen montiert.
Optional kann unser Brenner mit 4,2kW oder unsere Elektroheizung eingesetzt werden
Der Ofen kann in 9 Lagen mit Fisch, Fleisch oder Wurst bestückt werden. Zusätzlich kann hängend geräuchert werden.
Zusatzausstattung auf den Photos nur im Lieferumfang, sofern angegeben. Es wird das Modell mit Scheibe geliefert.</t>
  </si>
  <si>
    <t>Multifunktions Räucherofen mit Fenster u. Zubehör aus 1.4016 Edelstahl</t>
  </si>
  <si>
    <t>Multifunktionsräucherofen mit den Abmessungen: 80 x 40 x 27 cm
Räucherschrank zum Senkrecht- und Waagerecht Räuchern, incl. 
2 x Fischkorb
1 x Flachrost
1 x 5 Stk. S-Haken
1 x 5 Stk. Haken Standard
1 x Abtropfblech
1 x Räuchermehlschale
1 x Glutkasten
1 x Bedienungsanleitung
1 x SMOKI-Thermometer 0-120°C
1 x 500gr. Buche fein
Der Ofen ist im Bereich der Scheibe mit einem hitzebeständigem Isolierband versehen, um Glasbruch unter Hitzespannung zu vermeiden.</t>
  </si>
  <si>
    <t>ISOLIERTER Räucherofen 150x39x33cm aus 1.4301 V2A-Edelstahl</t>
  </si>
  <si>
    <t>1.4301 V2A-EDELSTAHL in doppelwandiger Ausführung mit Rundum-Isolierung.
Maße: H 150 cm B 39 cm T 33 cm.
an der Kohleschublade befindet sich eine regelbare Belüftungsklappe.
Der Ofen hat stabile Spannverriegelungen
Zwischen Brennraum und Räucherraum befindet sich ein gelochtes Trennblech, Sie können daher mit den Smokiöfen auch ausschließlich mit Holz gleichzeitig Heizen und Räuchern!
Der Ofen kann hängend an Haken oder in 12 weiteren Ebenen mit Fisch, Fleich oder Wurst bestückt werden.
Griffe sind komplett montiert
Sie können Heiß- und Kalträuchern
optinal können Sie den Ofen mit unserer Elektroheizung (Art. 103) oder Gasbrenner (Art. 104) ausrüsten.
Inklusive
Lüftungsschieber an der Kohleschublade
20mm Isolierung
Dachdurchführung mit Drosselklappe
Kohleschublade aus verzugsreduzierendem Schwarzblech mit Edelstahlblende
Räuchermehlschale
Fettauffangblech
Thermometer 0-120°C
4 Stk. Einhängestangen für Räucherhaken
Bedienungsanleitung mit Rezeptideen
Ausstattungen auf den Photos sind nur im Lieferumfang, sofern in dieser Beschreibung aufgelistet.</t>
  </si>
  <si>
    <t>ISOLIERTER Räucherofen 120x39x33cm Smoki aus V2A-Edelstahl</t>
  </si>
  <si>
    <t>Aus 1.4301 V2A-EDELSTAHL in doppelwandiger Ausführung mit Rundum-Isolierung.
Maße: H 120 cm B 39 cm T 33 cm.
Zwischen Brennraum und Räucherraum befindet sich ein gelochtes Trennblech, Sie können daher mit den Smokiöfen auch ausschließlich mit Holz gleichzeitig Heizen und Räuchern!
Der Ofen kann hängend oder liegend in 10 Ebenen mit Fisch, Fleich oder Wurst bestückt werden.
Inklusive
Lüftungsschieber an der Kohleschublade
20mm Rookwool Isolierung
Dachdurchführung mit Drosselklappe
Kohleschublade aus verzugsreduzierendem Schwarzblech mit Edelstahlblende
Räuchermehlschale
Fettauffangblech
Thermometer 0-120°C
4 Stk. Einhängestangen für Räucherhaken
seitliche verchromte Tragegriffe
Ausführlicher Bedienungsanleitung mit Rezeptideen
Einsatz von Elektroheizung oder Gaskocher möglich
Ausstattungen auf Photos nur im Lieferumfang, sofern angegeben.
Photo zeigt baugleiches, aber größeres Modell mit 150cm Höhe.</t>
  </si>
  <si>
    <t>SMOKI Räucherofen 85x39x33cm aus V2A-Edelstahl mit Scheibe</t>
  </si>
  <si>
    <t>Hochwertige Ware aus Edelstahl V2A, Werkstoff 1.4301
Made in Germany
Maße: 85 cm, B 39 cm, T 33 cm
Der Ofen ist aus hochwertigem Edelstahl (V2A, 1.4301) hergestellt.
Der Ofen hat zwei stabile Verriegelungen mit abziehbarem Schlüssel (Kindersicherung).
Zwischen Brennraum und Räucherraum befindet sich ein gelochtes Trennblech, Sie können daher mit den Smokiöfen auch ausschließlich mit Holz gleichzeitig Heizen und Räuchern!
Der Ofen kann hängend an Haken oder in 5 weiteren Ebenen mit Fisch, Fleich oder Wurst bestückt werden. Halterungen je Seite sind komplett montiert.
Sie können Heiß- und Kalträuchern !
Inklusive
Lüftungsschieber oben und an der Kohleschublade
Glutkasten aus massivem Schwarzblech mit Edelstahlblende - Feuerungskasten ist damit geschlossen
Räuchermehlschale
Fettauffangblech
Thermometer 0-120°C
4 Stk. Winkelstäbe zum Einhängen Ihrer Räucherhaken
Ausführlicher Bedienungsanleitung mit Rezeptideen
Ausstattungen auf Photos nur im Lieferumfang, sofern angegeben. Photos zeigen das baugleiche, aber größere Modell mit 120 cm Höhe.</t>
  </si>
  <si>
    <t>Turbinengrill</t>
  </si>
  <si>
    <t>GARTENGRILL TURBINE DREHBAR
Kosten Sie ein ausgezeichnetes Hähnchen vom Grill mit knuspriger, wohlriechender Haut.
Im Gartengrill können auch auf „Standard“-Haken senkrecht aufgehängte Fische gegrillt werden.
Darüber hinaus können im Gartengrill auch Fleischstücke an Spießen gegrillt werden.
Technische Daten:
Außendurchmesser: 320 mm
Höhe: 450 mm
Gewicht: ca 4,5 kg
Brennstoff: Holzkohlenpellets, Holzbriketts
Einzelteile: Nirosta-Stahl-Gehäuse, Heizmantel, Spieß, Flügelrad</t>
  </si>
  <si>
    <t>Gulaschkanone aus Edelstahl mit emailliertem Gulaschkessel für ca. 9l</t>
  </si>
  <si>
    <t>Höhe 48 cm (mit Füßen und Rauchrohr ca. 120 cm)
Breite 48 cm
Tiefe 37 cm
Korpus aus Edelstahl
Kochkessel emailiert, mit Deckel und Tragegriff
Volumen ca. 9 Liter
Rauchrohr und Bogen aus Schwarzblech
Aschekasten
seitliche Tragegriffe
Zum Kochen einer Suppe oder Erhitzen eines leckeren Glühweins ebenso geeignet wie zur Herstellung von Fischfutter (Boilies)!
Einfach zu Montieren und daher auch portabel.</t>
  </si>
  <si>
    <t>10 Stk. Räucherhaken "S" Edelstahl</t>
  </si>
  <si>
    <t>10 Stk. Räucherhaken "S" Edelstahl
Edelstahl Räucherhaken für Angler, Jäger und Fleischer</t>
  </si>
  <si>
    <t>5 Stk. Räucherhaken Standard - Doppelfixierung</t>
  </si>
  <si>
    <t xml:space="preserve">Mit zwei Haken für eine optimale Fixierung um das Rückgrat.
Drahtdurchmesser: 3 mm
Länge: 210 mm
Edelstahl
</t>
  </si>
  <si>
    <t>Fischkorb / Fischrost 34x25cm aus 1.4301 V2A-Edelstahl</t>
  </si>
  <si>
    <t>aus Edelstahl
spülmaschinenfestaus vollautomatischer Fertigung
                                                                                                                                                                                                                                                                Made in Germany</t>
  </si>
  <si>
    <t>Flachrost 34x25 cm aus 1.4301 V2A-Edelstahl</t>
  </si>
  <si>
    <t>Die Abmessungen betragen 34x25cm, damit passt das Flachrost in alle gängigen Modelle. Messen Sie einfach in Ihrem Ofen nach, ob das Maß ausreicht.
Für diverse andere Modelle haben wir ebenfalls die passenden Roste, geben Sie uns einfach Ihre Maße durch, mail an: smoki-shop@smokiofen.de
Roste sind aus Edelstahl und spülmaschinenfest.
Made in Germany</t>
  </si>
  <si>
    <t>Klappständer</t>
  </si>
  <si>
    <t>für eine optimale Arbeitshöhe
H52cm B 43cm T 30cm
Bestehend aus
- 20x20mm Vierkantrohr verzinkt + Platte</t>
  </si>
  <si>
    <t>Kochtopf, emailliert</t>
  </si>
  <si>
    <t xml:space="preserve">auch als Ersatz für unsere Gulaschkanone
ca. 9,3 Liter Volumen
mit Deckel
</t>
  </si>
  <si>
    <t xml:space="preserve">Raucherzeuger für Smoki Räucherofen aus V2A-Edelstahl </t>
  </si>
  <si>
    <t>Raucherzeuger zum Kalträuchern
Kombinieren Sie unseren Räucherofen Smoki mit diesem Raucherzeuger und Räuchern Sie problemlos kalt Fleisch.
Im Raucherzeuger wird mittels Holz, Gas- oder Elektroheizung nach dem Smoki-Prinzip Rauch in der Räuchermehlschale erzeugt.
Abmessung: 40x39x33cm
Incl.:
abziehbarem Schlüssel
komfortable Tür mit Edelstahlscharnieren und stabilem Schloss
Tür umlaufend stabil mehrfach gekantet
Annietstutzen montiert und mit Isolierband versehen
1 m flexiblem Schlauch aus Aluminium
Schubladeneinsatz für den Räucherofen Smoki mit montiertem Annietstutzen
Andere Ofenmodelle können mit unseren Annietstuzen versehen werden. Damit können Sie den Raucherzeuger auch für andere Modelle nutzen, müssen allerdings ein Loch in Ihren Ofen schneiden (Durchmesser ca. 80-100mm).
Photos zeigen Anwendungsbeispiele, abgebildete Teile/Geräte nur im Lieferumfang, sofern angegeben.</t>
  </si>
  <si>
    <t>Unterbau /Ständer aus V2A Edelstahl für Räucherofen</t>
  </si>
  <si>
    <t>für eine optimale Arbeitshöhe
ideal für die Unterbringung einer Gasflasche
aus Edelstahl V2A 1.4301
Es können Öfen mit einer Grundfläche bis zu 47x35cm darauf gestellt werden.
Lieferumfang ist der Unterbau
Außenmaße B=410; T=340; H=600mm
Innenmaße B= 407; T=335; H=567mm</t>
  </si>
  <si>
    <t>Bratblech / Maroniblech für Gulaschkanone</t>
  </si>
  <si>
    <t>Erweitern Sie Ihre Gulaschkanone mit diesem Blech zum Braten und Warmhalten. Passend für Modell 950.</t>
  </si>
  <si>
    <t>Gasbrenner 4,2kW mit Schlauch + Minderer f. Räucherofen</t>
  </si>
  <si>
    <t>Gasheizung
passend für Räucherofen Smoki
Füße demontierbar, zum Einsatz in kleinere Schächte
Leistung: 4200Watt, empfohlen ab 100cm Räucherofenhöhe.
regelbar mit Schlauch und Druckminderer.</t>
  </si>
  <si>
    <t>02-IMEH1</t>
  </si>
  <si>
    <t>Elektroheizung für Räucherofen, 220V</t>
  </si>
  <si>
    <t>Fisherman`s</t>
  </si>
  <si>
    <t>Elektroheizung für Räucherofen, 2300Watt</t>
  </si>
  <si>
    <t>Mit dieser Elektroheizung ist ein komfortables und sauberes Räuchern möglich.
Über einen Regler können Sie die gewünschte Temperatur anfahren, die Heizung schaltet sich dann automatisch zu und ab.
Die Leistung: liegt mit 2300 Watt im oberen Bereich der verfügbaren Heizungen und ist damit auch für unsere Modelle bis 150cm geeignet. Da die Heizung in der Räucherkammer platziert wird, wird auch die Strahlungswärme der Heizwendeln genutzt.
Inkl. Kontrollleuchte
Kabellänge: 1,3 m
VDE-Kennzeichnung
Prüfungen nach DIN EN 60335-1 ICE 335-1
MADE IN GERMANY
Für die Modelle 80x40x27cm und 120x40x27cm brauchen Sie ein Aufnahmeblech. siehe Artikel Nr. 62</t>
  </si>
  <si>
    <t xml:space="preserve">
ISOLIERTER SMOKI Räucherofen 85x39x33cm aus 1.4301 V2A-Edelstahl</t>
  </si>
  <si>
    <t>1.4301 V2A-EDELSTAHL in doppelwandiger Ausführung mit 30mm Rundum-Isolierung.
Maße: H 85 cm B 39 cm T 33 cm.
Zwischen Brennraum und Räucherraum befindet sich ein gelochtes Trennblech, Sie können daher mit den Smokiöfen auch ausschließlich mit Holz gleichzeitig Heizen und Räuchern!
Der Ofen kann hängend oder liegend in 6 Ebenen mit Fisch, Fleich oder Wurst bestückt werden.
Inklusive
Lüftungsschieber an der Kohleschublade
Isolierung
Dachdurchführung mit Drosselklappe
Kohleschublade aus verzugsreduzierendem Schwarzblech mit Edelstahlblende
Räuchermehlschale
Fettauffangblech
Thermometer 0-120°C
4 Stk. Einhängestangen für Räucherhaken
seitliche Tragegriffe
Ausführlicher Bedienungsanleitung mit Rezeptideen
Einsatz von Elektroheizung oder Gaskocher möglich
Ausstattungen auf Photos nur im Lieferumfang, sofern angegeben.
Photo zeigt baugleiches, aber größeres Modell mit 150cm Höhe.</t>
  </si>
  <si>
    <t>05-681010</t>
  </si>
  <si>
    <t xml:space="preserve">
Räucherofen 42x26x13cm aus 1.4301 V2A-Edelstahl</t>
  </si>
  <si>
    <t>Tischräucherofen 42x26x13cm aus 1.4301 V2A-Edelstahl</t>
  </si>
  <si>
    <t xml:space="preserve">
BBQ Kaltraucherzeuger Kaltrauchgenerator Kalträuchern Smoker 16x4,5cm</t>
  </si>
  <si>
    <t>Wiltec</t>
  </si>
  <si>
    <t>Kaltraucherzeuger zum einfachen Kalträuchern von Fleisch, Fisch, Käse, Gemüse oder allem anderen, was gut geräuchert einfach besser schmeckt.
Mit Hilfe minimaler Hitze wird eine sehr gute Ausbeute an Kaltrauch erzeugt, so dass sich die Speisen konstant und gleichmäßig räuchern lassen. Der aus hochwertig verchromtem Stahl hergestellte Kaltrauchgenerator ist spiralförmig aufgebaut, so dass eine hohe Glimmdauer von bis zu acht Stunden erreicht werden kann. Die Dauer hängt hier im Wesentlichen von der Beschaffenheit des Räucherholzes ab. Für ein optimales Ergebnis empfehlen wir Räucherspäne mit einer Körnung von 500/1000.</t>
  </si>
  <si>
    <t>Spar-Brand / Kaltraucherzeuger 22 x 17,5 x 4cm</t>
  </si>
  <si>
    <t>Mit dem professionellen Jaeger-Sparbrand entsteht durch Design und spezielles Material bei ausreichender Luftzufuhr kein Schwelbrand und kaum Kondenswasser. Durch Kondenswasser im Zusammenhang mit Rauch und salzhaltigen Lebensmitteln bildet sich Teeressig. Dieser kann das Räuchergut sauer schmecken lassen. Außerdem ist Teeressig eine Säure, die alle nicht säurebeständigen Materialien angreifen kann.
Maße ca: 22 x 17,5 x 4cm
aus Edelstahl V2A
erzeugen Sie mit ca. 85g Räuchermehl bei einer Körnung von ca. 1,0 Millimeter bis zu 20 Stunden Kaltrauch, ausreichen bis 4 Kubikmeter Rauminhalt
Räuchermehl verglimmt gleichmäßig bis zu 99%
ca. 14-20 Stunden Räucherdauer mit einer Füllung, je nach Wetterlage
Geringste Lufterwärmung während des Räucherns, deshalb ist Kalträuchern mit dem Jaeger-Spar-Brand auch im Sommer weltweit möglich.
Der Jaeger-Spar-Brand kann an einer Stelle für Normalrauch oder auch an mehreren Stellen für verstärkte Rauchentwicklung angezündet werden
Das Anzünden des Räuchermehls kann einfach und sicher zum Beispiel mit dem Jaeger-Teelicht erfolgen.
Einsetzbar in fast allen Räucheröfen und Grills</t>
  </si>
  <si>
    <t>Gewicht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</si>
</sst>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CHF&quot;\ * #,##0.00_ ;_ &quot;CHF&quot;\ * \-#,##0.00_ ;_ &quot;CHF&quot;\ * &quot;-&quot;??_ ;_ @_ "/>
    <numFmt numFmtId="164" formatCode="_ &quot;Fr.&quot;\ * #,##0.00_ ;_ &quot;Fr.&quot;\ * \-#,##0.00_ ;_ &quot;Fr.&quot;\ * &quot;-&quot;??_ ;_ @_ "/>
    <numFmt numFmtId="165" formatCode="_ &quot;Fr.&quot;\ * #\'##0.00_ ;_ &quot;Fr.&quot;\ * \-#\'##0.00_ ;_ &quot;Fr.&quot;\ * &quot;-&quot;??_ ;_ @_ "/>
    <numFmt numFmtId="166" formatCode="_-* #,##0.00\ &quot;€&quot;_-;\-* #,##0.00\ &quot;€&quot;_-;_-* &quot;-&quot;??\ &quot;€&quot;_-;_-@_-"/>
  </numFmts>
  <fonts count="5" x14ac:knownFonts="1">
    <font>
      <sz val="11"/>
      <color theme="1"/>
      <name val="Calibri"/>
      <family val="2"/>
      <scheme val="minor"/>
    </font>
    <font>
      <sz val="11"/>
      <color theme="1"/>
      <name val="Calibri"/>
      <family val="2"/>
      <scheme val="minor"/>
    </font>
    <font>
      <sz val="8"/>
      <name val="Calibri"/>
      <family val="2"/>
      <scheme val="minor"/>
    </font>
    <font>
      <sz val="11"/>
      <color indexed="8"/>
      <name val="Calibri"/>
      <family val="2"/>
      <scheme val="minor"/>
    </font>
    <font>
      <b/>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9">
    <xf numFmtId="0" fontId="0" fillId="0" borderId="0"/>
    <xf numFmtId="4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3" fillId="0" borderId="0"/>
    <xf numFmtId="166" fontId="1" fillId="0" borderId="0" applyFont="0" applyFill="0" applyBorder="0" applyAlignment="0" applyProtection="0"/>
    <xf numFmtId="164" fontId="1" fillId="0" borderId="0" applyFont="0" applyFill="0" applyBorder="0" applyAlignment="0" applyProtection="0"/>
  </cellStyleXfs>
  <cellXfs count="15">
    <xf numFmtId="0" fontId="0" fillId="0" borderId="0" xfId="0"/>
    <xf numFmtId="0" fontId="2" fillId="0" borderId="1" xfId="0" applyFont="1" applyBorder="1"/>
    <xf numFmtId="0" fontId="2" fillId="0" borderId="1" xfId="1" applyNumberFormat="1" applyFont="1" applyFill="1" applyBorder="1"/>
    <xf numFmtId="0" fontId="2" fillId="0" borderId="1" xfId="0" applyFont="1" applyBorder="1" applyAlignment="1">
      <alignment wrapText="1"/>
    </xf>
    <xf numFmtId="164" fontId="2" fillId="0" borderId="1" xfId="0" applyNumberFormat="1" applyFont="1" applyBorder="1"/>
    <xf numFmtId="0" fontId="2" fillId="0" borderId="0" xfId="0" applyFont="1"/>
    <xf numFmtId="1" fontId="2" fillId="0" borderId="1" xfId="0" applyNumberFormat="1" applyFont="1" applyBorder="1"/>
    <xf numFmtId="0" fontId="2" fillId="0" borderId="1" xfId="0" applyFont="1" applyBorder="1" applyAlignment="1">
      <alignment horizontal="center"/>
    </xf>
    <xf numFmtId="0" fontId="2" fillId="0" borderId="0" xfId="1" applyNumberFormat="1" applyFont="1" applyFill="1"/>
    <xf numFmtId="164" fontId="4" fillId="0" borderId="2" xfId="0" applyNumberFormat="1" applyFont="1" applyBorder="1"/>
    <xf numFmtId="1" fontId="2" fillId="0" borderId="0" xfId="0" applyNumberFormat="1" applyFont="1"/>
    <xf numFmtId="0" fontId="2" fillId="0" borderId="0" xfId="0" applyFont="1" applyAlignment="1">
      <alignment wrapText="1"/>
    </xf>
    <xf numFmtId="164" fontId="2" fillId="0" borderId="0" xfId="0" applyNumberFormat="1" applyFont="1"/>
    <xf numFmtId="0" fontId="2" fillId="0" borderId="0" xfId="1" applyNumberFormat="1" applyFont="1" applyFill="1" applyBorder="1"/>
    <xf numFmtId="1" fontId="2" fillId="0" borderId="0" xfId="0" applyNumberFormat="1" applyFont="1" applyAlignment="1">
      <alignment wrapText="1"/>
    </xf>
  </cellXfs>
  <cellStyles count="9">
    <cellStyle name="Standard" xfId="0" builtinId="0"/>
    <cellStyle name="Standard 2" xfId="6" xr:uid="{C6348820-8E85-46B0-B5EA-02FBCCC211A6}"/>
    <cellStyle name="Währung" xfId="1" builtinId="4"/>
    <cellStyle name="Währung 2" xfId="2" xr:uid="{2C27D4A0-A690-47D6-B132-4162D3A33498}"/>
    <cellStyle name="Währung 2 2 2" xfId="5" xr:uid="{221F709C-A724-4FAC-8B45-DAED25DA39F4}"/>
    <cellStyle name="Währung 3" xfId="7" xr:uid="{C0C77DBA-CD89-4C03-8F36-3D35C141A5BC}"/>
    <cellStyle name="Währung 4" xfId="3" xr:uid="{5EB333DD-41A7-4E88-B4BE-60A0FCF2B9CF}"/>
    <cellStyle name="Währung 5" xfId="4" xr:uid="{8D67345A-E7A7-41B4-B6D6-95B6527A21B7}"/>
    <cellStyle name="Währung 6" xfId="8" xr:uid="{0D1948EC-F3CB-43D7-9391-D258E99699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63C35-3CBF-4BB0-8297-2BED2981E12E}">
  <sheetPr codeName="Tabelle12"/>
  <dimension ref="A1:Y46"/>
  <sheetViews>
    <sheetView tabSelected="1" workbookViewId="0">
      <selection activeCell="A2" sqref="A2:A26"/>
    </sheetView>
  </sheetViews>
  <sheetFormatPr baseColWidth="10" defaultColWidth="11.42578125" defaultRowHeight="11.25" x14ac:dyDescent="0.2"/>
  <cols>
    <col min="1" max="1" width="4.42578125" style="5" bestFit="1" customWidth="1"/>
    <col min="2" max="2" width="10.28515625" style="5" bestFit="1" customWidth="1"/>
    <col min="3" max="3" width="8.5703125" style="5" bestFit="1" customWidth="1"/>
    <col min="4" max="4" width="7.7109375" style="5" bestFit="1" customWidth="1"/>
    <col min="5" max="5" width="50.42578125" style="5" bestFit="1" customWidth="1"/>
    <col min="6" max="6" width="27.140625" style="5" customWidth="1"/>
    <col min="7" max="7" width="11.85546875" style="5" bestFit="1" customWidth="1"/>
    <col min="8" max="8" width="12" style="8" bestFit="1" customWidth="1"/>
    <col min="9" max="9" width="9.85546875" style="5" bestFit="1" customWidth="1"/>
    <col min="10" max="10" width="10" style="8" bestFit="1" customWidth="1"/>
    <col min="11" max="11" width="7.85546875" style="5" bestFit="1" customWidth="1"/>
    <col min="12" max="13" width="9.28515625" style="5" bestFit="1" customWidth="1"/>
    <col min="14" max="14" width="12.140625" style="5" bestFit="1" customWidth="1"/>
    <col min="15" max="15" width="252" style="5" bestFit="1" customWidth="1"/>
    <col min="16" max="16" width="86.42578125" style="5" bestFit="1" customWidth="1"/>
    <col min="17" max="17" width="50.42578125" style="5" bestFit="1" customWidth="1"/>
    <col min="18" max="18" width="86.42578125" style="5" bestFit="1" customWidth="1"/>
    <col min="19" max="19" width="11.42578125" style="5" bestFit="1"/>
    <col min="20" max="20" width="14.140625" style="5" bestFit="1" customWidth="1"/>
    <col min="21" max="21" width="30.140625" style="5" bestFit="1" customWidth="1"/>
    <col min="22" max="22" width="9" style="5" bestFit="1" customWidth="1"/>
    <col min="23" max="24" width="9.5703125" style="5" bestFit="1" customWidth="1"/>
    <col min="25" max="16384" width="11.42578125" style="5"/>
  </cols>
  <sheetData>
    <row r="1" spans="1:25" ht="15" customHeight="1" x14ac:dyDescent="0.2">
      <c r="A1" s="1"/>
      <c r="B1" s="1" t="s">
        <v>22</v>
      </c>
      <c r="C1" s="1" t="s">
        <v>0</v>
      </c>
      <c r="D1" s="1" t="s">
        <v>1</v>
      </c>
      <c r="E1" s="1" t="s">
        <v>2</v>
      </c>
      <c r="F1" s="1" t="s">
        <v>3</v>
      </c>
      <c r="G1" s="1" t="s">
        <v>4</v>
      </c>
      <c r="H1" s="2" t="s">
        <v>5</v>
      </c>
      <c r="I1" s="1" t="s">
        <v>6</v>
      </c>
      <c r="J1" s="2"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7" t="s">
        <v>78</v>
      </c>
    </row>
    <row r="2" spans="1:25" ht="15" customHeight="1" x14ac:dyDescent="0.2">
      <c r="A2" s="1">
        <v>1</v>
      </c>
      <c r="B2" s="1">
        <v>0</v>
      </c>
      <c r="C2" s="1">
        <v>1032</v>
      </c>
      <c r="D2" s="1">
        <v>1</v>
      </c>
      <c r="E2" s="3" t="s">
        <v>24</v>
      </c>
      <c r="F2" s="1" t="s">
        <v>25</v>
      </c>
      <c r="G2" s="1"/>
      <c r="H2" s="2">
        <v>299</v>
      </c>
      <c r="I2" s="1">
        <v>53</v>
      </c>
      <c r="J2" s="2">
        <v>131</v>
      </c>
      <c r="K2" s="1">
        <f t="shared" ref="K2:K26" si="0">C2</f>
        <v>1032</v>
      </c>
      <c r="L2" s="1" t="s">
        <v>23</v>
      </c>
      <c r="M2" s="1" t="s">
        <v>23</v>
      </c>
      <c r="N2" s="6">
        <v>4260267081464</v>
      </c>
      <c r="O2" s="3" t="s">
        <v>26</v>
      </c>
      <c r="P2" s="1" t="str">
        <f t="shared" ref="P2:P26" si="1">$E2 &amp; "," &amp; $F2 &amp;"," &amp; $L2 &amp;","&amp; $M2</f>
        <v>Räucherofen 100x39x33cm mit Scheibe aus Cr-Edelstahl 1.4016,Accueil,Angeln,Räuchern,Räucheröfen,Smoki,Smoki</v>
      </c>
      <c r="Q2" s="1" t="str">
        <f t="shared" ref="Q2:Q26" si="2">E2</f>
        <v>Räucherofen 100x39x33cm mit Scheibe aus Cr-Edelstahl 1.4016</v>
      </c>
      <c r="R2" s="1" t="str">
        <f t="shared" ref="R2:R26" si="3">P2</f>
        <v>Räucherofen 100x39x33cm mit Scheibe aus Cr-Edelstahl 1.4016,Accueil,Angeln,Räuchern,Räucheröfen,Smoki,Smoki</v>
      </c>
      <c r="S2" s="1">
        <v>1</v>
      </c>
      <c r="T2" s="1">
        <v>1</v>
      </c>
      <c r="U2" s="1" t="str">
        <f xml:space="preserve"> "http://usfh.ch/img/Rauch_Grill/" &amp; C2 &amp; ".jpg"</f>
        <v>http://usfh.ch/img/Rauch_Grill/1032.jpg</v>
      </c>
      <c r="V2" s="1">
        <f t="shared" ref="V2:V26" si="4">C2</f>
        <v>1032</v>
      </c>
      <c r="W2" s="4">
        <f t="shared" ref="W2:W26" si="5">B2*H2</f>
        <v>0</v>
      </c>
      <c r="X2" s="4">
        <f t="shared" ref="X2:X26" si="6">B2*J2</f>
        <v>0</v>
      </c>
      <c r="Y2" s="1">
        <v>999</v>
      </c>
    </row>
    <row r="3" spans="1:25" ht="15" customHeight="1" x14ac:dyDescent="0.2">
      <c r="A3" s="1">
        <v>2</v>
      </c>
      <c r="B3" s="1">
        <v>1</v>
      </c>
      <c r="C3" s="1">
        <v>1222</v>
      </c>
      <c r="D3" s="1">
        <v>1</v>
      </c>
      <c r="E3" s="3" t="s">
        <v>27</v>
      </c>
      <c r="F3" s="1" t="s">
        <v>25</v>
      </c>
      <c r="G3" s="1"/>
      <c r="H3" s="2">
        <v>650</v>
      </c>
      <c r="I3" s="1">
        <v>53</v>
      </c>
      <c r="J3" s="2">
        <v>350</v>
      </c>
      <c r="K3" s="1">
        <f t="shared" si="0"/>
        <v>1222</v>
      </c>
      <c r="L3" s="1" t="s">
        <v>23</v>
      </c>
      <c r="M3" s="1" t="s">
        <v>23</v>
      </c>
      <c r="N3" s="6">
        <v>4260267080108</v>
      </c>
      <c r="O3" s="3" t="s">
        <v>28</v>
      </c>
      <c r="P3" s="1" t="str">
        <f t="shared" si="1"/>
        <v>Räucherofen 120x39x33cm aus V2A-Edelstahl mit Sichtfenster,Accueil,Angeln,Räuchern,Räucheröfen,Smoki,Smoki</v>
      </c>
      <c r="Q3" s="1" t="str">
        <f t="shared" si="2"/>
        <v>Räucherofen 120x39x33cm aus V2A-Edelstahl mit Sichtfenster</v>
      </c>
      <c r="R3" s="1" t="str">
        <f t="shared" si="3"/>
        <v>Räucherofen 120x39x33cm aus V2A-Edelstahl mit Sichtfenster,Accueil,Angeln,Räuchern,Räucheröfen,Smoki,Smoki</v>
      </c>
      <c r="S3" s="1">
        <v>1</v>
      </c>
      <c r="T3" s="1">
        <v>1</v>
      </c>
      <c r="U3" s="1" t="str">
        <f t="shared" ref="U3:U26" si="7" xml:space="preserve"> "http://usfh.ch/img/Rauch_Grill/" &amp; C3 &amp; ".jpg"</f>
        <v>http://usfh.ch/img/Rauch_Grill/1222.jpg</v>
      </c>
      <c r="V3" s="1">
        <f t="shared" si="4"/>
        <v>1222</v>
      </c>
      <c r="W3" s="4">
        <f t="shared" si="5"/>
        <v>650</v>
      </c>
      <c r="X3" s="4">
        <f t="shared" si="6"/>
        <v>350</v>
      </c>
      <c r="Y3" s="1">
        <v>999</v>
      </c>
    </row>
    <row r="4" spans="1:25" ht="15" customHeight="1" x14ac:dyDescent="0.2">
      <c r="A4" s="1">
        <v>3</v>
      </c>
      <c r="B4" s="1">
        <v>1</v>
      </c>
      <c r="C4" s="1">
        <v>1522</v>
      </c>
      <c r="D4" s="1">
        <v>1</v>
      </c>
      <c r="E4" s="3" t="s">
        <v>29</v>
      </c>
      <c r="F4" s="1" t="s">
        <v>25</v>
      </c>
      <c r="G4" s="1"/>
      <c r="H4" s="2">
        <v>699</v>
      </c>
      <c r="I4" s="1">
        <v>53</v>
      </c>
      <c r="J4" s="2">
        <v>373</v>
      </c>
      <c r="K4" s="1">
        <f t="shared" si="0"/>
        <v>1522</v>
      </c>
      <c r="L4" s="1" t="s">
        <v>23</v>
      </c>
      <c r="M4" s="1" t="s">
        <v>23</v>
      </c>
      <c r="N4" s="6">
        <v>4260267080252</v>
      </c>
      <c r="O4" s="3" t="s">
        <v>30</v>
      </c>
      <c r="P4" s="1" t="str">
        <f t="shared" si="1"/>
        <v>Räucherofen Smoki 150x39x33 aus V2A-Edelstahl mit Sichtfenster,Accueil,Angeln,Räuchern,Räucheröfen,Smoki,Smoki</v>
      </c>
      <c r="Q4" s="1" t="str">
        <f t="shared" si="2"/>
        <v>Räucherofen Smoki 150x39x33 aus V2A-Edelstahl mit Sichtfenster</v>
      </c>
      <c r="R4" s="1" t="str">
        <f t="shared" si="3"/>
        <v>Räucherofen Smoki 150x39x33 aus V2A-Edelstahl mit Sichtfenster,Accueil,Angeln,Räuchern,Räucheröfen,Smoki,Smoki</v>
      </c>
      <c r="S4" s="1">
        <v>1</v>
      </c>
      <c r="T4" s="1">
        <v>1</v>
      </c>
      <c r="U4" s="1" t="str">
        <f t="shared" si="7"/>
        <v>http://usfh.ch/img/Rauch_Grill/1522.jpg</v>
      </c>
      <c r="V4" s="1">
        <f t="shared" si="4"/>
        <v>1522</v>
      </c>
      <c r="W4" s="4">
        <f t="shared" si="5"/>
        <v>699</v>
      </c>
      <c r="X4" s="4">
        <f t="shared" si="6"/>
        <v>373</v>
      </c>
      <c r="Y4" s="1">
        <v>999</v>
      </c>
    </row>
    <row r="5" spans="1:25" ht="15" customHeight="1" x14ac:dyDescent="0.2">
      <c r="A5" s="1">
        <v>4</v>
      </c>
      <c r="B5" s="1">
        <v>0</v>
      </c>
      <c r="C5" s="1">
        <v>507</v>
      </c>
      <c r="D5" s="1">
        <v>1</v>
      </c>
      <c r="E5" s="3" t="s">
        <v>31</v>
      </c>
      <c r="F5" s="1" t="s">
        <v>25</v>
      </c>
      <c r="G5" s="1"/>
      <c r="H5" s="2">
        <v>199</v>
      </c>
      <c r="I5" s="1">
        <v>53</v>
      </c>
      <c r="J5" s="2">
        <v>79</v>
      </c>
      <c r="K5" s="1">
        <f t="shared" si="0"/>
        <v>507</v>
      </c>
      <c r="L5" s="1" t="s">
        <v>23</v>
      </c>
      <c r="M5" s="1" t="s">
        <v>23</v>
      </c>
      <c r="N5" s="6">
        <v>4260267080627</v>
      </c>
      <c r="O5" s="3" t="s">
        <v>32</v>
      </c>
      <c r="P5" s="1" t="str">
        <f t="shared" si="1"/>
        <v>Multifunktions Räucherofen mit Fenster u. Zubehör aus 1.4016 Edelstahl,Accueil,Angeln,Räuchern,Räucheröfen,Smoki,Smoki</v>
      </c>
      <c r="Q5" s="1" t="str">
        <f t="shared" si="2"/>
        <v>Multifunktions Räucherofen mit Fenster u. Zubehör aus 1.4016 Edelstahl</v>
      </c>
      <c r="R5" s="1" t="str">
        <f t="shared" si="3"/>
        <v>Multifunktions Räucherofen mit Fenster u. Zubehör aus 1.4016 Edelstahl,Accueil,Angeln,Räuchern,Räucheröfen,Smoki,Smoki</v>
      </c>
      <c r="S5" s="1">
        <v>1</v>
      </c>
      <c r="T5" s="1">
        <v>1</v>
      </c>
      <c r="U5" s="1" t="str">
        <f t="shared" si="7"/>
        <v>http://usfh.ch/img/Rauch_Grill/507.jpg</v>
      </c>
      <c r="V5" s="1">
        <f t="shared" si="4"/>
        <v>507</v>
      </c>
      <c r="W5" s="4">
        <f t="shared" si="5"/>
        <v>0</v>
      </c>
      <c r="X5" s="4">
        <f t="shared" si="6"/>
        <v>0</v>
      </c>
      <c r="Y5" s="1">
        <v>999</v>
      </c>
    </row>
    <row r="6" spans="1:25" ht="15" customHeight="1" x14ac:dyDescent="0.2">
      <c r="A6" s="1">
        <v>5</v>
      </c>
      <c r="B6" s="1">
        <v>0</v>
      </c>
      <c r="C6" s="1">
        <v>1523</v>
      </c>
      <c r="D6" s="1">
        <v>1</v>
      </c>
      <c r="E6" s="3" t="s">
        <v>33</v>
      </c>
      <c r="F6" s="1" t="s">
        <v>25</v>
      </c>
      <c r="G6" s="1"/>
      <c r="H6" s="2">
        <v>999</v>
      </c>
      <c r="I6" s="1">
        <v>53</v>
      </c>
      <c r="J6" s="2">
        <v>658</v>
      </c>
      <c r="K6" s="1">
        <f t="shared" si="0"/>
        <v>1523</v>
      </c>
      <c r="L6" s="1" t="s">
        <v>23</v>
      </c>
      <c r="M6" s="1" t="s">
        <v>23</v>
      </c>
      <c r="N6" s="6">
        <v>4260267080092</v>
      </c>
      <c r="O6" s="3" t="s">
        <v>34</v>
      </c>
      <c r="P6" s="1" t="str">
        <f t="shared" si="1"/>
        <v>ISOLIERTER Räucherofen 150x39x33cm aus 1.4301 V2A-Edelstahl,Accueil,Angeln,Räuchern,Räucheröfen,Smoki,Smoki</v>
      </c>
      <c r="Q6" s="1" t="str">
        <f t="shared" si="2"/>
        <v>ISOLIERTER Räucherofen 150x39x33cm aus 1.4301 V2A-Edelstahl</v>
      </c>
      <c r="R6" s="1" t="str">
        <f t="shared" si="3"/>
        <v>ISOLIERTER Räucherofen 150x39x33cm aus 1.4301 V2A-Edelstahl,Accueil,Angeln,Räuchern,Räucheröfen,Smoki,Smoki</v>
      </c>
      <c r="S6" s="1">
        <v>1</v>
      </c>
      <c r="T6" s="1">
        <v>1</v>
      </c>
      <c r="U6" s="1" t="str">
        <f t="shared" si="7"/>
        <v>http://usfh.ch/img/Rauch_Grill/1523.jpg</v>
      </c>
      <c r="V6" s="1">
        <f t="shared" si="4"/>
        <v>1523</v>
      </c>
      <c r="W6" s="4">
        <f t="shared" si="5"/>
        <v>0</v>
      </c>
      <c r="X6" s="4">
        <f t="shared" si="6"/>
        <v>0</v>
      </c>
      <c r="Y6" s="1">
        <v>999</v>
      </c>
    </row>
    <row r="7" spans="1:25" ht="15" customHeight="1" x14ac:dyDescent="0.2">
      <c r="A7" s="1">
        <v>6</v>
      </c>
      <c r="B7" s="1">
        <v>0</v>
      </c>
      <c r="C7" s="1">
        <v>1223</v>
      </c>
      <c r="D7" s="1">
        <v>1</v>
      </c>
      <c r="E7" s="3" t="s">
        <v>35</v>
      </c>
      <c r="F7" s="1" t="s">
        <v>25</v>
      </c>
      <c r="G7" s="1"/>
      <c r="H7" s="2">
        <v>850</v>
      </c>
      <c r="I7" s="1">
        <v>53</v>
      </c>
      <c r="J7" s="2">
        <v>267.3</v>
      </c>
      <c r="K7" s="1">
        <f t="shared" si="0"/>
        <v>1223</v>
      </c>
      <c r="L7" s="1" t="s">
        <v>23</v>
      </c>
      <c r="M7" s="1" t="s">
        <v>23</v>
      </c>
      <c r="N7" s="6">
        <v>4260267080740</v>
      </c>
      <c r="O7" s="3" t="s">
        <v>36</v>
      </c>
      <c r="P7" s="1" t="str">
        <f t="shared" si="1"/>
        <v>ISOLIERTER Räucherofen 120x39x33cm Smoki aus V2A-Edelstahl,Accueil,Angeln,Räuchern,Räucheröfen,Smoki,Smoki</v>
      </c>
      <c r="Q7" s="1" t="str">
        <f t="shared" si="2"/>
        <v>ISOLIERTER Räucherofen 120x39x33cm Smoki aus V2A-Edelstahl</v>
      </c>
      <c r="R7" s="1" t="str">
        <f t="shared" si="3"/>
        <v>ISOLIERTER Räucherofen 120x39x33cm Smoki aus V2A-Edelstahl,Accueil,Angeln,Räuchern,Räucheröfen,Smoki,Smoki</v>
      </c>
      <c r="S7" s="1">
        <v>1</v>
      </c>
      <c r="T7" s="1">
        <v>1</v>
      </c>
      <c r="U7" s="1" t="str">
        <f t="shared" si="7"/>
        <v>http://usfh.ch/img/Rauch_Grill/1223.jpg</v>
      </c>
      <c r="V7" s="1">
        <f t="shared" si="4"/>
        <v>1223</v>
      </c>
      <c r="W7" s="4">
        <f t="shared" si="5"/>
        <v>0</v>
      </c>
      <c r="X7" s="4">
        <f t="shared" si="6"/>
        <v>0</v>
      </c>
      <c r="Y7" s="1">
        <v>999</v>
      </c>
    </row>
    <row r="8" spans="1:25" ht="15" customHeight="1" x14ac:dyDescent="0.2">
      <c r="A8" s="1">
        <v>7</v>
      </c>
      <c r="B8" s="1">
        <v>0</v>
      </c>
      <c r="C8" s="1">
        <v>8522</v>
      </c>
      <c r="D8" s="1">
        <v>1</v>
      </c>
      <c r="E8" s="3" t="s">
        <v>37</v>
      </c>
      <c r="F8" s="1" t="s">
        <v>25</v>
      </c>
      <c r="G8" s="1"/>
      <c r="H8" s="2">
        <v>349</v>
      </c>
      <c r="I8" s="1">
        <v>53</v>
      </c>
      <c r="J8" s="2">
        <v>148.5</v>
      </c>
      <c r="K8" s="1">
        <f t="shared" si="0"/>
        <v>8522</v>
      </c>
      <c r="L8" s="1" t="s">
        <v>23</v>
      </c>
      <c r="M8" s="1" t="s">
        <v>23</v>
      </c>
      <c r="N8" s="6">
        <v>4260267080276</v>
      </c>
      <c r="O8" s="3" t="s">
        <v>38</v>
      </c>
      <c r="P8" s="1" t="str">
        <f t="shared" si="1"/>
        <v>SMOKI Räucherofen 85x39x33cm aus V2A-Edelstahl mit Scheibe,Accueil,Angeln,Räuchern,Räucheröfen,Smoki,Smoki</v>
      </c>
      <c r="Q8" s="1" t="str">
        <f t="shared" si="2"/>
        <v>SMOKI Räucherofen 85x39x33cm aus V2A-Edelstahl mit Scheibe</v>
      </c>
      <c r="R8" s="1" t="str">
        <f t="shared" si="3"/>
        <v>SMOKI Räucherofen 85x39x33cm aus V2A-Edelstahl mit Scheibe,Accueil,Angeln,Räuchern,Räucheröfen,Smoki,Smoki</v>
      </c>
      <c r="S8" s="1">
        <v>1</v>
      </c>
      <c r="T8" s="1">
        <v>1</v>
      </c>
      <c r="U8" s="1" t="str">
        <f t="shared" si="7"/>
        <v>http://usfh.ch/img/Rauch_Grill/8522.jpg</v>
      </c>
      <c r="V8" s="1">
        <f t="shared" si="4"/>
        <v>8522</v>
      </c>
      <c r="W8" s="4">
        <f t="shared" si="5"/>
        <v>0</v>
      </c>
      <c r="X8" s="4">
        <f t="shared" si="6"/>
        <v>0</v>
      </c>
      <c r="Y8" s="1">
        <v>999</v>
      </c>
    </row>
    <row r="9" spans="1:25" ht="15" customHeight="1" x14ac:dyDescent="0.2">
      <c r="A9" s="1">
        <v>8</v>
      </c>
      <c r="B9" s="1">
        <v>1</v>
      </c>
      <c r="C9" s="1">
        <v>952</v>
      </c>
      <c r="D9" s="1">
        <v>1</v>
      </c>
      <c r="E9" s="3" t="s">
        <v>39</v>
      </c>
      <c r="F9" s="1" t="s">
        <v>25</v>
      </c>
      <c r="G9" s="1"/>
      <c r="H9" s="2">
        <v>109</v>
      </c>
      <c r="I9" s="1">
        <v>53</v>
      </c>
      <c r="J9" s="2">
        <v>41.6</v>
      </c>
      <c r="K9" s="1">
        <f t="shared" si="0"/>
        <v>952</v>
      </c>
      <c r="L9" s="1" t="s">
        <v>23</v>
      </c>
      <c r="M9" s="1" t="s">
        <v>23</v>
      </c>
      <c r="N9" s="6">
        <v>8595561303872</v>
      </c>
      <c r="O9" s="3" t="s">
        <v>40</v>
      </c>
      <c r="P9" s="1" t="str">
        <f t="shared" si="1"/>
        <v>Turbinengrill,Accueil,Angeln,Räuchern,Räucheröfen,Smoki,Smoki</v>
      </c>
      <c r="Q9" s="1" t="str">
        <f t="shared" si="2"/>
        <v>Turbinengrill</v>
      </c>
      <c r="R9" s="1" t="str">
        <f t="shared" si="3"/>
        <v>Turbinengrill,Accueil,Angeln,Räuchern,Räucheröfen,Smoki,Smoki</v>
      </c>
      <c r="S9" s="1">
        <v>1</v>
      </c>
      <c r="T9" s="1">
        <v>1</v>
      </c>
      <c r="U9" s="1" t="str">
        <f t="shared" si="7"/>
        <v>http://usfh.ch/img/Rauch_Grill/952.jpg</v>
      </c>
      <c r="V9" s="1">
        <f t="shared" si="4"/>
        <v>952</v>
      </c>
      <c r="W9" s="4">
        <f t="shared" si="5"/>
        <v>109</v>
      </c>
      <c r="X9" s="4">
        <f t="shared" si="6"/>
        <v>41.6</v>
      </c>
      <c r="Y9" s="1">
        <v>10</v>
      </c>
    </row>
    <row r="10" spans="1:25" ht="15" customHeight="1" x14ac:dyDescent="0.2">
      <c r="A10" s="1">
        <v>9</v>
      </c>
      <c r="B10" s="1">
        <v>0</v>
      </c>
      <c r="C10" s="1">
        <v>950</v>
      </c>
      <c r="D10" s="1">
        <v>1</v>
      </c>
      <c r="E10" s="3" t="s">
        <v>41</v>
      </c>
      <c r="F10" s="1" t="s">
        <v>25</v>
      </c>
      <c r="G10" s="1"/>
      <c r="H10" s="2">
        <v>119</v>
      </c>
      <c r="I10" s="1">
        <v>53</v>
      </c>
      <c r="J10" s="2">
        <v>50</v>
      </c>
      <c r="K10" s="1">
        <f t="shared" si="0"/>
        <v>950</v>
      </c>
      <c r="L10" s="1" t="s">
        <v>23</v>
      </c>
      <c r="M10" s="1" t="s">
        <v>23</v>
      </c>
      <c r="N10" s="6">
        <v>4260267080573</v>
      </c>
      <c r="O10" s="3" t="s">
        <v>42</v>
      </c>
      <c r="P10" s="1" t="str">
        <f t="shared" si="1"/>
        <v>Gulaschkanone aus Edelstahl mit emailliertem Gulaschkessel für ca. 9l,Accueil,Angeln,Räuchern,Räucheröfen,Smoki,Smoki</v>
      </c>
      <c r="Q10" s="1" t="str">
        <f t="shared" si="2"/>
        <v>Gulaschkanone aus Edelstahl mit emailliertem Gulaschkessel für ca. 9l</v>
      </c>
      <c r="R10" s="1" t="str">
        <f t="shared" si="3"/>
        <v>Gulaschkanone aus Edelstahl mit emailliertem Gulaschkessel für ca. 9l,Accueil,Angeln,Räuchern,Räucheröfen,Smoki,Smoki</v>
      </c>
      <c r="S10" s="1">
        <v>1</v>
      </c>
      <c r="T10" s="1">
        <v>1</v>
      </c>
      <c r="U10" s="1" t="str">
        <f t="shared" si="7"/>
        <v>http://usfh.ch/img/Rauch_Grill/950.jpg</v>
      </c>
      <c r="V10" s="1">
        <f t="shared" si="4"/>
        <v>950</v>
      </c>
      <c r="W10" s="4">
        <f t="shared" si="5"/>
        <v>0</v>
      </c>
      <c r="X10" s="4">
        <f t="shared" si="6"/>
        <v>0</v>
      </c>
      <c r="Y10" s="1">
        <v>999</v>
      </c>
    </row>
    <row r="11" spans="1:25" ht="15" customHeight="1" x14ac:dyDescent="0.2">
      <c r="A11" s="1">
        <v>10</v>
      </c>
      <c r="B11" s="1">
        <v>0</v>
      </c>
      <c r="C11" s="1">
        <v>70149</v>
      </c>
      <c r="D11" s="1">
        <v>1</v>
      </c>
      <c r="E11" s="3" t="s">
        <v>43</v>
      </c>
      <c r="F11" s="1" t="s">
        <v>25</v>
      </c>
      <c r="G11" s="1"/>
      <c r="H11" s="2">
        <v>12</v>
      </c>
      <c r="I11" s="1">
        <v>53</v>
      </c>
      <c r="J11" s="2">
        <v>4.75</v>
      </c>
      <c r="K11" s="1">
        <f t="shared" si="0"/>
        <v>70149</v>
      </c>
      <c r="L11" s="1" t="s">
        <v>23</v>
      </c>
      <c r="M11" s="1" t="s">
        <v>23</v>
      </c>
      <c r="N11" s="6">
        <v>4260267080320</v>
      </c>
      <c r="O11" s="3" t="s">
        <v>44</v>
      </c>
      <c r="P11" s="1" t="str">
        <f t="shared" si="1"/>
        <v>10 Stk. Räucherhaken "S" Edelstahl,Accueil,Angeln,Räuchern,Räucheröfen,Smoki,Smoki</v>
      </c>
      <c r="Q11" s="1" t="str">
        <f t="shared" si="2"/>
        <v>10 Stk. Räucherhaken "S" Edelstahl</v>
      </c>
      <c r="R11" s="1" t="str">
        <f t="shared" si="3"/>
        <v>10 Stk. Räucherhaken "S" Edelstahl,Accueil,Angeln,Räuchern,Räucheröfen,Smoki,Smoki</v>
      </c>
      <c r="S11" s="1">
        <v>1</v>
      </c>
      <c r="T11" s="1">
        <v>1</v>
      </c>
      <c r="U11" s="1" t="str">
        <f t="shared" si="7"/>
        <v>http://usfh.ch/img/Rauch_Grill/70149.jpg</v>
      </c>
      <c r="V11" s="1">
        <f t="shared" si="4"/>
        <v>70149</v>
      </c>
      <c r="W11" s="4">
        <f t="shared" si="5"/>
        <v>0</v>
      </c>
      <c r="X11" s="4">
        <f t="shared" si="6"/>
        <v>0</v>
      </c>
      <c r="Y11" s="1">
        <v>0.1</v>
      </c>
    </row>
    <row r="12" spans="1:25" ht="15" customHeight="1" x14ac:dyDescent="0.2">
      <c r="A12" s="1">
        <v>11</v>
      </c>
      <c r="B12" s="1">
        <v>3</v>
      </c>
      <c r="C12" s="1">
        <v>13</v>
      </c>
      <c r="D12" s="1">
        <v>1</v>
      </c>
      <c r="E12" s="3" t="s">
        <v>45</v>
      </c>
      <c r="F12" s="1" t="s">
        <v>25</v>
      </c>
      <c r="G12" s="1"/>
      <c r="H12" s="2">
        <v>10</v>
      </c>
      <c r="I12" s="1">
        <v>53</v>
      </c>
      <c r="J12" s="2">
        <v>3</v>
      </c>
      <c r="K12" s="1">
        <f t="shared" si="0"/>
        <v>13</v>
      </c>
      <c r="L12" s="1" t="s">
        <v>23</v>
      </c>
      <c r="M12" s="1" t="s">
        <v>23</v>
      </c>
      <c r="N12" s="6">
        <v>4260267080528</v>
      </c>
      <c r="O12" s="3" t="s">
        <v>46</v>
      </c>
      <c r="P12" s="1" t="str">
        <f t="shared" si="1"/>
        <v>5 Stk. Räucherhaken Standard - Doppelfixierung,Accueil,Angeln,Räuchern,Räucheröfen,Smoki,Smoki</v>
      </c>
      <c r="Q12" s="1" t="str">
        <f t="shared" si="2"/>
        <v>5 Stk. Räucherhaken Standard - Doppelfixierung</v>
      </c>
      <c r="R12" s="1" t="str">
        <f t="shared" si="3"/>
        <v>5 Stk. Räucherhaken Standard - Doppelfixierung,Accueil,Angeln,Räuchern,Räucheröfen,Smoki,Smoki</v>
      </c>
      <c r="S12" s="1">
        <v>1</v>
      </c>
      <c r="T12" s="1">
        <v>1</v>
      </c>
      <c r="U12" s="1" t="str">
        <f t="shared" si="7"/>
        <v>http://usfh.ch/img/Rauch_Grill/13.jpg</v>
      </c>
      <c r="V12" s="1">
        <f t="shared" si="4"/>
        <v>13</v>
      </c>
      <c r="W12" s="4">
        <f t="shared" si="5"/>
        <v>30</v>
      </c>
      <c r="X12" s="4">
        <f t="shared" si="6"/>
        <v>9</v>
      </c>
      <c r="Y12" s="1">
        <v>0.1</v>
      </c>
    </row>
    <row r="13" spans="1:25" ht="15" customHeight="1" x14ac:dyDescent="0.2">
      <c r="A13" s="1">
        <v>12</v>
      </c>
      <c r="B13" s="1">
        <v>5</v>
      </c>
      <c r="C13" s="1">
        <v>1006</v>
      </c>
      <c r="D13" s="1">
        <v>1</v>
      </c>
      <c r="E13" s="3" t="s">
        <v>47</v>
      </c>
      <c r="F13" s="1" t="s">
        <v>25</v>
      </c>
      <c r="G13" s="1"/>
      <c r="H13" s="2">
        <v>19</v>
      </c>
      <c r="I13" s="1">
        <v>53</v>
      </c>
      <c r="J13" s="2">
        <v>5.95</v>
      </c>
      <c r="K13" s="1">
        <f t="shared" si="0"/>
        <v>1006</v>
      </c>
      <c r="L13" s="1" t="s">
        <v>23</v>
      </c>
      <c r="M13" s="1" t="s">
        <v>23</v>
      </c>
      <c r="N13" s="6">
        <v>4260267081587</v>
      </c>
      <c r="O13" s="3" t="s">
        <v>48</v>
      </c>
      <c r="P13" s="1" t="str">
        <f t="shared" si="1"/>
        <v>Fischkorb / Fischrost 34x25cm aus 1.4301 V2A-Edelstahl,Accueil,Angeln,Räuchern,Räucheröfen,Smoki,Smoki</v>
      </c>
      <c r="Q13" s="1" t="str">
        <f t="shared" si="2"/>
        <v>Fischkorb / Fischrost 34x25cm aus 1.4301 V2A-Edelstahl</v>
      </c>
      <c r="R13" s="1" t="str">
        <f t="shared" si="3"/>
        <v>Fischkorb / Fischrost 34x25cm aus 1.4301 V2A-Edelstahl,Accueil,Angeln,Räuchern,Räucheröfen,Smoki,Smoki</v>
      </c>
      <c r="S13" s="1">
        <v>1</v>
      </c>
      <c r="T13" s="1">
        <v>1</v>
      </c>
      <c r="U13" s="1" t="str">
        <f t="shared" si="7"/>
        <v>http://usfh.ch/img/Rauch_Grill/1006.jpg</v>
      </c>
      <c r="V13" s="1">
        <f t="shared" si="4"/>
        <v>1006</v>
      </c>
      <c r="W13" s="4">
        <f t="shared" si="5"/>
        <v>95</v>
      </c>
      <c r="X13" s="4">
        <f t="shared" si="6"/>
        <v>29.75</v>
      </c>
      <c r="Y13" s="1">
        <v>0.3</v>
      </c>
    </row>
    <row r="14" spans="1:25" ht="15" customHeight="1" x14ac:dyDescent="0.2">
      <c r="A14" s="1">
        <v>13</v>
      </c>
      <c r="B14" s="1">
        <v>23</v>
      </c>
      <c r="C14" s="1">
        <v>1010</v>
      </c>
      <c r="D14" s="1">
        <v>1</v>
      </c>
      <c r="E14" s="3" t="s">
        <v>49</v>
      </c>
      <c r="F14" s="1" t="s">
        <v>25</v>
      </c>
      <c r="G14" s="1"/>
      <c r="H14" s="2">
        <v>19</v>
      </c>
      <c r="I14" s="1">
        <v>53</v>
      </c>
      <c r="J14" s="2">
        <v>11</v>
      </c>
      <c r="K14" s="1">
        <f t="shared" si="0"/>
        <v>1010</v>
      </c>
      <c r="L14" s="1" t="s">
        <v>23</v>
      </c>
      <c r="M14" s="1" t="s">
        <v>23</v>
      </c>
      <c r="N14" s="6">
        <v>4260267081570</v>
      </c>
      <c r="O14" s="3" t="s">
        <v>50</v>
      </c>
      <c r="P14" s="1" t="str">
        <f t="shared" si="1"/>
        <v>Flachrost 34x25 cm aus 1.4301 V2A-Edelstahl,Accueil,Angeln,Räuchern,Räucheröfen,Smoki,Smoki</v>
      </c>
      <c r="Q14" s="1" t="str">
        <f t="shared" si="2"/>
        <v>Flachrost 34x25 cm aus 1.4301 V2A-Edelstahl</v>
      </c>
      <c r="R14" s="1" t="str">
        <f t="shared" si="3"/>
        <v>Flachrost 34x25 cm aus 1.4301 V2A-Edelstahl,Accueil,Angeln,Räuchern,Räucheröfen,Smoki,Smoki</v>
      </c>
      <c r="S14" s="1">
        <v>1</v>
      </c>
      <c r="T14" s="1">
        <v>1</v>
      </c>
      <c r="U14" s="1" t="str">
        <f t="shared" si="7"/>
        <v>http://usfh.ch/img/Rauch_Grill/1010.jpg</v>
      </c>
      <c r="V14" s="1">
        <f t="shared" si="4"/>
        <v>1010</v>
      </c>
      <c r="W14" s="4">
        <f t="shared" si="5"/>
        <v>437</v>
      </c>
      <c r="X14" s="4">
        <f t="shared" si="6"/>
        <v>253</v>
      </c>
      <c r="Y14" s="1">
        <v>0.3</v>
      </c>
    </row>
    <row r="15" spans="1:25" ht="15" customHeight="1" x14ac:dyDescent="0.2">
      <c r="A15" s="1">
        <v>14</v>
      </c>
      <c r="B15" s="1">
        <v>2</v>
      </c>
      <c r="C15" s="1">
        <v>1003</v>
      </c>
      <c r="D15" s="1">
        <v>1</v>
      </c>
      <c r="E15" s="3" t="s">
        <v>51</v>
      </c>
      <c r="F15" s="1" t="s">
        <v>25</v>
      </c>
      <c r="G15" s="1"/>
      <c r="H15" s="2">
        <v>35</v>
      </c>
      <c r="I15" s="1">
        <v>53</v>
      </c>
      <c r="J15" s="2">
        <v>14.25</v>
      </c>
      <c r="K15" s="1">
        <f t="shared" si="0"/>
        <v>1003</v>
      </c>
      <c r="L15" s="1" t="s">
        <v>23</v>
      </c>
      <c r="M15" s="1" t="s">
        <v>23</v>
      </c>
      <c r="N15" s="6">
        <v>4260267080498</v>
      </c>
      <c r="O15" s="3" t="s">
        <v>52</v>
      </c>
      <c r="P15" s="1" t="str">
        <f t="shared" si="1"/>
        <v>Klappständer,Accueil,Angeln,Räuchern,Räucheröfen,Smoki,Smoki</v>
      </c>
      <c r="Q15" s="1" t="str">
        <f t="shared" si="2"/>
        <v>Klappständer</v>
      </c>
      <c r="R15" s="1" t="str">
        <f t="shared" si="3"/>
        <v>Klappständer,Accueil,Angeln,Räuchern,Räucheröfen,Smoki,Smoki</v>
      </c>
      <c r="S15" s="1">
        <v>1</v>
      </c>
      <c r="T15" s="1">
        <v>1</v>
      </c>
      <c r="U15" s="1" t="str">
        <f t="shared" si="7"/>
        <v>http://usfh.ch/img/Rauch_Grill/1003.jpg</v>
      </c>
      <c r="V15" s="1">
        <f t="shared" si="4"/>
        <v>1003</v>
      </c>
      <c r="W15" s="4">
        <f t="shared" si="5"/>
        <v>70</v>
      </c>
      <c r="X15" s="4">
        <f t="shared" si="6"/>
        <v>28.5</v>
      </c>
      <c r="Y15" s="1">
        <v>10</v>
      </c>
    </row>
    <row r="16" spans="1:25" ht="15" customHeight="1" x14ac:dyDescent="0.2">
      <c r="A16" s="1">
        <v>15</v>
      </c>
      <c r="B16" s="1">
        <v>0</v>
      </c>
      <c r="C16" s="1">
        <v>953</v>
      </c>
      <c r="D16" s="1">
        <v>1</v>
      </c>
      <c r="E16" s="3" t="s">
        <v>53</v>
      </c>
      <c r="F16" s="1" t="s">
        <v>25</v>
      </c>
      <c r="G16" s="1"/>
      <c r="H16" s="2">
        <v>39</v>
      </c>
      <c r="I16" s="1">
        <v>53</v>
      </c>
      <c r="J16" s="2">
        <v>17.850000000000001</v>
      </c>
      <c r="K16" s="1">
        <f t="shared" si="0"/>
        <v>953</v>
      </c>
      <c r="L16" s="1" t="s">
        <v>23</v>
      </c>
      <c r="M16" s="1" t="s">
        <v>23</v>
      </c>
      <c r="N16" s="6">
        <v>4260267081716</v>
      </c>
      <c r="O16" s="3" t="s">
        <v>54</v>
      </c>
      <c r="P16" s="1" t="str">
        <f t="shared" si="1"/>
        <v>Kochtopf, emailliert,Accueil,Angeln,Räuchern,Räucheröfen,Smoki,Smoki</v>
      </c>
      <c r="Q16" s="1" t="str">
        <f t="shared" si="2"/>
        <v>Kochtopf, emailliert</v>
      </c>
      <c r="R16" s="1" t="str">
        <f t="shared" si="3"/>
        <v>Kochtopf, emailliert,Accueil,Angeln,Räuchern,Räucheröfen,Smoki,Smoki</v>
      </c>
      <c r="S16" s="1">
        <v>1</v>
      </c>
      <c r="T16" s="1">
        <v>1</v>
      </c>
      <c r="U16" s="1" t="str">
        <f t="shared" si="7"/>
        <v>http://usfh.ch/img/Rauch_Grill/953.jpg</v>
      </c>
      <c r="V16" s="1">
        <f t="shared" si="4"/>
        <v>953</v>
      </c>
      <c r="W16" s="4">
        <f t="shared" si="5"/>
        <v>0</v>
      </c>
      <c r="X16" s="4">
        <f t="shared" si="6"/>
        <v>0</v>
      </c>
      <c r="Y16" s="1">
        <v>2</v>
      </c>
    </row>
    <row r="17" spans="1:25" ht="15" customHeight="1" x14ac:dyDescent="0.2">
      <c r="A17" s="1">
        <v>16</v>
      </c>
      <c r="B17" s="1">
        <v>0</v>
      </c>
      <c r="C17" s="1">
        <v>991</v>
      </c>
      <c r="D17" s="1">
        <v>1</v>
      </c>
      <c r="E17" s="3" t="s">
        <v>55</v>
      </c>
      <c r="F17" s="1" t="s">
        <v>25</v>
      </c>
      <c r="G17" s="1"/>
      <c r="H17" s="2">
        <v>199</v>
      </c>
      <c r="I17" s="1">
        <v>53</v>
      </c>
      <c r="J17" s="2">
        <v>124</v>
      </c>
      <c r="K17" s="1">
        <f t="shared" si="0"/>
        <v>991</v>
      </c>
      <c r="L17" s="1" t="s">
        <v>23</v>
      </c>
      <c r="M17" s="1" t="s">
        <v>23</v>
      </c>
      <c r="N17" s="6">
        <v>4260267080061</v>
      </c>
      <c r="O17" s="3" t="s">
        <v>56</v>
      </c>
      <c r="P17" s="1" t="str">
        <f t="shared" si="1"/>
        <v>Raucherzeuger für Smoki Räucherofen aus V2A-Edelstahl ,Accueil,Angeln,Räuchern,Räucheröfen,Smoki,Smoki</v>
      </c>
      <c r="Q17" s="1" t="str">
        <f t="shared" si="2"/>
        <v xml:space="preserve">Raucherzeuger für Smoki Räucherofen aus V2A-Edelstahl </v>
      </c>
      <c r="R17" s="1" t="str">
        <f t="shared" si="3"/>
        <v>Raucherzeuger für Smoki Räucherofen aus V2A-Edelstahl ,Accueil,Angeln,Räuchern,Räucheröfen,Smoki,Smoki</v>
      </c>
      <c r="S17" s="1">
        <v>1</v>
      </c>
      <c r="T17" s="1">
        <v>1</v>
      </c>
      <c r="U17" s="1" t="str">
        <f t="shared" si="7"/>
        <v>http://usfh.ch/img/Rauch_Grill/991.jpg</v>
      </c>
      <c r="V17" s="1">
        <f t="shared" si="4"/>
        <v>991</v>
      </c>
      <c r="W17" s="4">
        <f t="shared" si="5"/>
        <v>0</v>
      </c>
      <c r="X17" s="4">
        <f t="shared" si="6"/>
        <v>0</v>
      </c>
      <c r="Y17" s="1">
        <v>0.3</v>
      </c>
    </row>
    <row r="18" spans="1:25" ht="15" customHeight="1" x14ac:dyDescent="0.2">
      <c r="A18" s="1">
        <v>17</v>
      </c>
      <c r="B18" s="1">
        <v>2</v>
      </c>
      <c r="C18" s="1">
        <v>981</v>
      </c>
      <c r="D18" s="1">
        <v>1</v>
      </c>
      <c r="E18" s="3" t="s">
        <v>57</v>
      </c>
      <c r="F18" s="1" t="s">
        <v>25</v>
      </c>
      <c r="G18" s="1"/>
      <c r="H18" s="2">
        <v>129</v>
      </c>
      <c r="I18" s="1">
        <v>53</v>
      </c>
      <c r="J18" s="2">
        <v>56.45</v>
      </c>
      <c r="K18" s="1">
        <f t="shared" si="0"/>
        <v>981</v>
      </c>
      <c r="L18" s="1" t="s">
        <v>23</v>
      </c>
      <c r="M18" s="1" t="s">
        <v>23</v>
      </c>
      <c r="N18" s="6">
        <v>4260267080030</v>
      </c>
      <c r="O18" s="3" t="s">
        <v>58</v>
      </c>
      <c r="P18" s="1" t="str">
        <f t="shared" si="1"/>
        <v>Unterbau /Ständer aus V2A Edelstahl für Räucherofen,Accueil,Angeln,Räuchern,Räucheröfen,Smoki,Smoki</v>
      </c>
      <c r="Q18" s="1" t="str">
        <f t="shared" si="2"/>
        <v>Unterbau /Ständer aus V2A Edelstahl für Räucherofen</v>
      </c>
      <c r="R18" s="1" t="str">
        <f t="shared" si="3"/>
        <v>Unterbau /Ständer aus V2A Edelstahl für Räucherofen,Accueil,Angeln,Räuchern,Räucheröfen,Smoki,Smoki</v>
      </c>
      <c r="S18" s="1">
        <v>1</v>
      </c>
      <c r="T18" s="1">
        <v>1</v>
      </c>
      <c r="U18" s="1" t="str">
        <f t="shared" si="7"/>
        <v>http://usfh.ch/img/Rauch_Grill/981.jpg</v>
      </c>
      <c r="V18" s="1">
        <f t="shared" si="4"/>
        <v>981</v>
      </c>
      <c r="W18" s="4">
        <f t="shared" si="5"/>
        <v>258</v>
      </c>
      <c r="X18" s="4">
        <f t="shared" si="6"/>
        <v>112.9</v>
      </c>
      <c r="Y18" s="1">
        <v>2</v>
      </c>
    </row>
    <row r="19" spans="1:25" ht="15" customHeight="1" x14ac:dyDescent="0.2">
      <c r="A19" s="1">
        <v>18</v>
      </c>
      <c r="B19" s="1">
        <v>2</v>
      </c>
      <c r="C19" s="1">
        <v>951</v>
      </c>
      <c r="D19" s="1">
        <v>1</v>
      </c>
      <c r="E19" s="3" t="s">
        <v>59</v>
      </c>
      <c r="F19" s="1" t="s">
        <v>25</v>
      </c>
      <c r="G19" s="1"/>
      <c r="H19" s="2">
        <v>19</v>
      </c>
      <c r="I19" s="1">
        <v>53</v>
      </c>
      <c r="J19" s="2">
        <v>4.75</v>
      </c>
      <c r="K19" s="1">
        <f t="shared" si="0"/>
        <v>951</v>
      </c>
      <c r="L19" s="1" t="s">
        <v>23</v>
      </c>
      <c r="M19" s="1" t="s">
        <v>23</v>
      </c>
      <c r="N19" s="6">
        <v>4260267080580</v>
      </c>
      <c r="O19" s="3" t="s">
        <v>60</v>
      </c>
      <c r="P19" s="1" t="str">
        <f t="shared" si="1"/>
        <v>Bratblech / Maroniblech für Gulaschkanone,Accueil,Angeln,Räuchern,Räucheröfen,Smoki,Smoki</v>
      </c>
      <c r="Q19" s="1" t="str">
        <f t="shared" si="2"/>
        <v>Bratblech / Maroniblech für Gulaschkanone</v>
      </c>
      <c r="R19" s="1" t="str">
        <f t="shared" si="3"/>
        <v>Bratblech / Maroniblech für Gulaschkanone,Accueil,Angeln,Räuchern,Räucheröfen,Smoki,Smoki</v>
      </c>
      <c r="S19" s="1">
        <v>1</v>
      </c>
      <c r="T19" s="1">
        <v>1</v>
      </c>
      <c r="U19" s="1" t="str">
        <f t="shared" si="7"/>
        <v>http://usfh.ch/img/Rauch_Grill/951.jpg</v>
      </c>
      <c r="V19" s="1">
        <f t="shared" si="4"/>
        <v>951</v>
      </c>
      <c r="W19" s="4">
        <f t="shared" si="5"/>
        <v>38</v>
      </c>
      <c r="X19" s="4">
        <f t="shared" si="6"/>
        <v>9.5</v>
      </c>
      <c r="Y19" s="1">
        <v>0.5</v>
      </c>
    </row>
    <row r="20" spans="1:25" ht="15" customHeight="1" x14ac:dyDescent="0.2">
      <c r="A20" s="1">
        <v>19</v>
      </c>
      <c r="B20" s="1">
        <v>1</v>
      </c>
      <c r="C20" s="1">
        <v>104</v>
      </c>
      <c r="D20" s="1">
        <v>1</v>
      </c>
      <c r="E20" s="3" t="s">
        <v>61</v>
      </c>
      <c r="F20" s="1" t="s">
        <v>25</v>
      </c>
      <c r="G20" s="1"/>
      <c r="H20" s="2">
        <v>129</v>
      </c>
      <c r="I20" s="1">
        <v>53</v>
      </c>
      <c r="J20" s="2">
        <v>76</v>
      </c>
      <c r="K20" s="1">
        <f t="shared" si="0"/>
        <v>104</v>
      </c>
      <c r="L20" s="1" t="s">
        <v>23</v>
      </c>
      <c r="M20" s="1" t="s">
        <v>23</v>
      </c>
      <c r="N20" s="6">
        <v>4260267081075</v>
      </c>
      <c r="O20" s="3" t="s">
        <v>62</v>
      </c>
      <c r="P20" s="1" t="str">
        <f t="shared" si="1"/>
        <v>Gasbrenner 4,2kW mit Schlauch + Minderer f. Räucherofen,Accueil,Angeln,Räuchern,Räucheröfen,Smoki,Smoki</v>
      </c>
      <c r="Q20" s="1" t="str">
        <f t="shared" si="2"/>
        <v>Gasbrenner 4,2kW mit Schlauch + Minderer f. Räucherofen</v>
      </c>
      <c r="R20" s="1" t="str">
        <f t="shared" si="3"/>
        <v>Gasbrenner 4,2kW mit Schlauch + Minderer f. Räucherofen,Accueil,Angeln,Räuchern,Räucheröfen,Smoki,Smoki</v>
      </c>
      <c r="S20" s="1">
        <v>1</v>
      </c>
      <c r="T20" s="1">
        <v>1</v>
      </c>
      <c r="U20" s="1" t="str">
        <f t="shared" si="7"/>
        <v>http://usfh.ch/img/Rauch_Grill/104.jpg</v>
      </c>
      <c r="V20" s="1">
        <f t="shared" si="4"/>
        <v>104</v>
      </c>
      <c r="W20" s="4">
        <f t="shared" si="5"/>
        <v>129</v>
      </c>
      <c r="X20" s="4">
        <f t="shared" si="6"/>
        <v>76</v>
      </c>
      <c r="Y20" s="1">
        <v>2</v>
      </c>
    </row>
    <row r="21" spans="1:25" ht="15" customHeight="1" x14ac:dyDescent="0.2">
      <c r="A21" s="1">
        <v>20</v>
      </c>
      <c r="B21" s="1">
        <v>0</v>
      </c>
      <c r="C21" s="1" t="s">
        <v>63</v>
      </c>
      <c r="D21" s="1">
        <v>1</v>
      </c>
      <c r="E21" s="3" t="s">
        <v>64</v>
      </c>
      <c r="F21" s="1" t="s">
        <v>25</v>
      </c>
      <c r="G21" s="1"/>
      <c r="H21" s="2">
        <v>69</v>
      </c>
      <c r="I21" s="1">
        <v>53</v>
      </c>
      <c r="J21" s="2">
        <v>32</v>
      </c>
      <c r="K21" s="1" t="str">
        <f t="shared" si="0"/>
        <v>02-IMEH1</v>
      </c>
      <c r="L21" s="1" t="s">
        <v>65</v>
      </c>
      <c r="M21" s="1" t="s">
        <v>65</v>
      </c>
      <c r="N21" s="6"/>
      <c r="O21" s="3" t="s">
        <v>64</v>
      </c>
      <c r="P21" s="1" t="str">
        <f t="shared" si="1"/>
        <v>Elektroheizung für Räucherofen, 220V,Accueil,Angeln,Räuchern,Räucheröfen,Fisherman`s,Fisherman`s</v>
      </c>
      <c r="Q21" s="1" t="str">
        <f t="shared" si="2"/>
        <v>Elektroheizung für Räucherofen, 220V</v>
      </c>
      <c r="R21" s="1" t="str">
        <f t="shared" si="3"/>
        <v>Elektroheizung für Räucherofen, 220V,Accueil,Angeln,Räuchern,Räucheröfen,Fisherman`s,Fisherman`s</v>
      </c>
      <c r="S21" s="1">
        <v>1</v>
      </c>
      <c r="T21" s="1">
        <v>1</v>
      </c>
      <c r="U21" s="1" t="str">
        <f t="shared" si="7"/>
        <v>http://usfh.ch/img/Rauch_Grill/02-IMEH1.jpg</v>
      </c>
      <c r="V21" s="1" t="str">
        <f t="shared" si="4"/>
        <v>02-IMEH1</v>
      </c>
      <c r="W21" s="4">
        <f t="shared" si="5"/>
        <v>0</v>
      </c>
      <c r="X21" s="4">
        <f t="shared" si="6"/>
        <v>0</v>
      </c>
      <c r="Y21" s="1">
        <v>2</v>
      </c>
    </row>
    <row r="22" spans="1:25" ht="15" customHeight="1" x14ac:dyDescent="0.2">
      <c r="A22" s="1">
        <v>21</v>
      </c>
      <c r="B22" s="1">
        <v>1</v>
      </c>
      <c r="C22" s="1">
        <v>103</v>
      </c>
      <c r="D22" s="1">
        <v>1</v>
      </c>
      <c r="E22" s="3" t="s">
        <v>66</v>
      </c>
      <c r="F22" s="1" t="s">
        <v>25</v>
      </c>
      <c r="G22" s="1"/>
      <c r="H22" s="2">
        <v>129</v>
      </c>
      <c r="I22" s="1">
        <v>53</v>
      </c>
      <c r="J22" s="2">
        <v>59</v>
      </c>
      <c r="K22" s="1">
        <f t="shared" si="0"/>
        <v>103</v>
      </c>
      <c r="L22" s="1" t="s">
        <v>23</v>
      </c>
      <c r="M22" s="1" t="s">
        <v>23</v>
      </c>
      <c r="N22" s="6">
        <v>4260267080887</v>
      </c>
      <c r="O22" s="3" t="s">
        <v>67</v>
      </c>
      <c r="P22" s="1" t="str">
        <f t="shared" si="1"/>
        <v>Elektroheizung für Räucherofen, 2300Watt,Accueil,Angeln,Räuchern,Räucheröfen,Smoki,Smoki</v>
      </c>
      <c r="Q22" s="1" t="str">
        <f t="shared" si="2"/>
        <v>Elektroheizung für Räucherofen, 2300Watt</v>
      </c>
      <c r="R22" s="1" t="str">
        <f t="shared" si="3"/>
        <v>Elektroheizung für Räucherofen, 2300Watt,Accueil,Angeln,Räuchern,Räucheröfen,Smoki,Smoki</v>
      </c>
      <c r="S22" s="1">
        <v>1</v>
      </c>
      <c r="T22" s="1">
        <v>1</v>
      </c>
      <c r="U22" s="1" t="str">
        <f t="shared" si="7"/>
        <v>http://usfh.ch/img/Rauch_Grill/103.jpg</v>
      </c>
      <c r="V22" s="1">
        <f t="shared" si="4"/>
        <v>103</v>
      </c>
      <c r="W22" s="4">
        <f t="shared" si="5"/>
        <v>129</v>
      </c>
      <c r="X22" s="4">
        <f t="shared" si="6"/>
        <v>59</v>
      </c>
      <c r="Y22" s="1">
        <v>2</v>
      </c>
    </row>
    <row r="23" spans="1:25" ht="15" customHeight="1" x14ac:dyDescent="0.2">
      <c r="A23" s="1">
        <v>22</v>
      </c>
      <c r="B23" s="1">
        <v>0</v>
      </c>
      <c r="C23" s="1">
        <v>8523</v>
      </c>
      <c r="D23" s="1">
        <v>1</v>
      </c>
      <c r="E23" s="3" t="s">
        <v>68</v>
      </c>
      <c r="F23" s="1" t="s">
        <v>25</v>
      </c>
      <c r="G23" s="1"/>
      <c r="H23" s="2">
        <v>450</v>
      </c>
      <c r="I23" s="1">
        <v>53</v>
      </c>
      <c r="J23" s="2">
        <v>190.1</v>
      </c>
      <c r="K23" s="1">
        <f t="shared" si="0"/>
        <v>8523</v>
      </c>
      <c r="L23" s="1" t="s">
        <v>23</v>
      </c>
      <c r="M23" s="1" t="s">
        <v>23</v>
      </c>
      <c r="N23" s="6">
        <v>4260267080177</v>
      </c>
      <c r="O23" s="3" t="s">
        <v>69</v>
      </c>
      <c r="P23" s="1" t="str">
        <f t="shared" si="1"/>
        <v xml:space="preserve">
ISOLIERTER SMOKI Räucherofen 85x39x33cm aus 1.4301 V2A-Edelstahl,Accueil,Angeln,Räuchern,Räucheröfen,Smoki,Smoki</v>
      </c>
      <c r="Q23" s="1" t="str">
        <f t="shared" si="2"/>
        <v xml:space="preserve">
ISOLIERTER SMOKI Räucherofen 85x39x33cm aus 1.4301 V2A-Edelstahl</v>
      </c>
      <c r="R23" s="1" t="str">
        <f t="shared" si="3"/>
        <v xml:space="preserve">
ISOLIERTER SMOKI Räucherofen 85x39x33cm aus 1.4301 V2A-Edelstahl,Accueil,Angeln,Räuchern,Räucheröfen,Smoki,Smoki</v>
      </c>
      <c r="S23" s="1">
        <v>1</v>
      </c>
      <c r="T23" s="1">
        <v>1</v>
      </c>
      <c r="U23" s="1" t="str">
        <f t="shared" si="7"/>
        <v>http://usfh.ch/img/Rauch_Grill/8523.jpg</v>
      </c>
      <c r="V23" s="1">
        <f t="shared" si="4"/>
        <v>8523</v>
      </c>
      <c r="W23" s="4">
        <f t="shared" si="5"/>
        <v>0</v>
      </c>
      <c r="X23" s="4">
        <f t="shared" si="6"/>
        <v>0</v>
      </c>
      <c r="Y23" s="1">
        <v>999</v>
      </c>
    </row>
    <row r="24" spans="1:25" ht="15" customHeight="1" x14ac:dyDescent="0.2">
      <c r="A24" s="1">
        <v>23</v>
      </c>
      <c r="B24" s="1">
        <v>3</v>
      </c>
      <c r="C24" s="1" t="s">
        <v>70</v>
      </c>
      <c r="D24" s="1">
        <v>1</v>
      </c>
      <c r="E24" s="3" t="s">
        <v>71</v>
      </c>
      <c r="F24" s="1" t="s">
        <v>25</v>
      </c>
      <c r="G24" s="1"/>
      <c r="H24" s="2">
        <v>59</v>
      </c>
      <c r="I24" s="1">
        <v>53</v>
      </c>
      <c r="J24" s="2">
        <v>19.95</v>
      </c>
      <c r="K24" s="1" t="str">
        <f t="shared" si="0"/>
        <v>05-681010</v>
      </c>
      <c r="L24" s="1" t="s">
        <v>65</v>
      </c>
      <c r="M24" s="1" t="s">
        <v>65</v>
      </c>
      <c r="N24" s="6"/>
      <c r="O24" s="3" t="s">
        <v>72</v>
      </c>
      <c r="P24" s="1" t="str">
        <f t="shared" si="1"/>
        <v xml:space="preserve">
Räucherofen 42x26x13cm aus 1.4301 V2A-Edelstahl,Accueil,Angeln,Räuchern,Räucheröfen,Fisherman`s,Fisherman`s</v>
      </c>
      <c r="Q24" s="1" t="str">
        <f t="shared" si="2"/>
        <v xml:space="preserve">
Räucherofen 42x26x13cm aus 1.4301 V2A-Edelstahl</v>
      </c>
      <c r="R24" s="1" t="str">
        <f t="shared" si="3"/>
        <v xml:space="preserve">
Räucherofen 42x26x13cm aus 1.4301 V2A-Edelstahl,Accueil,Angeln,Räuchern,Räucheröfen,Fisherman`s,Fisherman`s</v>
      </c>
      <c r="S24" s="1">
        <v>1</v>
      </c>
      <c r="T24" s="1">
        <v>1</v>
      </c>
      <c r="U24" s="1" t="str">
        <f t="shared" si="7"/>
        <v>http://usfh.ch/img/Rauch_Grill/05-681010.jpg</v>
      </c>
      <c r="V24" s="1" t="str">
        <f t="shared" si="4"/>
        <v>05-681010</v>
      </c>
      <c r="W24" s="4">
        <f t="shared" si="5"/>
        <v>177</v>
      </c>
      <c r="X24" s="4">
        <f t="shared" si="6"/>
        <v>59.849999999999994</v>
      </c>
      <c r="Y24" s="1">
        <v>3.4</v>
      </c>
    </row>
    <row r="25" spans="1:25" ht="15" customHeight="1" x14ac:dyDescent="0.2">
      <c r="A25" s="1">
        <v>24</v>
      </c>
      <c r="B25" s="1">
        <v>6</v>
      </c>
      <c r="C25" s="1">
        <v>60315</v>
      </c>
      <c r="D25" s="1">
        <v>1</v>
      </c>
      <c r="E25" s="3" t="s">
        <v>73</v>
      </c>
      <c r="F25" s="1" t="s">
        <v>25</v>
      </c>
      <c r="G25" s="1"/>
      <c r="H25" s="2">
        <v>47</v>
      </c>
      <c r="I25" s="1">
        <v>53</v>
      </c>
      <c r="J25" s="2">
        <v>16</v>
      </c>
      <c r="K25" s="1">
        <f t="shared" si="0"/>
        <v>60315</v>
      </c>
      <c r="L25" s="1" t="s">
        <v>74</v>
      </c>
      <c r="M25" s="1" t="s">
        <v>74</v>
      </c>
      <c r="N25" s="6"/>
      <c r="O25" s="3" t="s">
        <v>75</v>
      </c>
      <c r="P25" s="1" t="str">
        <f t="shared" si="1"/>
        <v xml:space="preserve">
BBQ Kaltraucherzeuger Kaltrauchgenerator Kalträuchern Smoker 16x4,5cm,Accueil,Angeln,Räuchern,Räucheröfen,Wiltec,Wiltec</v>
      </c>
      <c r="Q25" s="1" t="str">
        <f t="shared" si="2"/>
        <v xml:space="preserve">
BBQ Kaltraucherzeuger Kaltrauchgenerator Kalträuchern Smoker 16x4,5cm</v>
      </c>
      <c r="R25" s="1" t="str">
        <f t="shared" si="3"/>
        <v xml:space="preserve">
BBQ Kaltraucherzeuger Kaltrauchgenerator Kalträuchern Smoker 16x4,5cm,Accueil,Angeln,Räuchern,Räucheröfen,Wiltec,Wiltec</v>
      </c>
      <c r="S25" s="1">
        <v>1</v>
      </c>
      <c r="T25" s="1">
        <v>1</v>
      </c>
      <c r="U25" s="1" t="str">
        <f t="shared" si="7"/>
        <v>http://usfh.ch/img/Rauch_Grill/60315.jpg</v>
      </c>
      <c r="V25" s="1">
        <f t="shared" si="4"/>
        <v>60315</v>
      </c>
      <c r="W25" s="4">
        <f t="shared" si="5"/>
        <v>282</v>
      </c>
      <c r="X25" s="4">
        <f t="shared" si="6"/>
        <v>96</v>
      </c>
      <c r="Y25" s="1">
        <v>10</v>
      </c>
    </row>
    <row r="26" spans="1:25" ht="15" customHeight="1" x14ac:dyDescent="0.2">
      <c r="A26" s="1">
        <v>25</v>
      </c>
      <c r="B26" s="1">
        <v>1</v>
      </c>
      <c r="C26" s="1">
        <v>101753</v>
      </c>
      <c r="D26" s="1">
        <v>1</v>
      </c>
      <c r="E26" s="3" t="s">
        <v>76</v>
      </c>
      <c r="F26" s="1" t="s">
        <v>25</v>
      </c>
      <c r="G26" s="1"/>
      <c r="H26" s="2">
        <v>51</v>
      </c>
      <c r="I26" s="1">
        <v>53</v>
      </c>
      <c r="J26" s="2">
        <v>25</v>
      </c>
      <c r="K26" s="1">
        <f t="shared" si="0"/>
        <v>101753</v>
      </c>
      <c r="L26" s="1" t="s">
        <v>23</v>
      </c>
      <c r="M26" s="1" t="s">
        <v>23</v>
      </c>
      <c r="N26" s="6"/>
      <c r="O26" s="3" t="s">
        <v>77</v>
      </c>
      <c r="P26" s="1" t="str">
        <f t="shared" si="1"/>
        <v>Spar-Brand / Kaltraucherzeuger 22 x 17,5 x 4cm,Accueil,Angeln,Räuchern,Räucheröfen,Smoki,Smoki</v>
      </c>
      <c r="Q26" s="1" t="str">
        <f t="shared" si="2"/>
        <v>Spar-Brand / Kaltraucherzeuger 22 x 17,5 x 4cm</v>
      </c>
      <c r="R26" s="1" t="str">
        <f t="shared" si="3"/>
        <v>Spar-Brand / Kaltraucherzeuger 22 x 17,5 x 4cm,Accueil,Angeln,Räuchern,Räucheröfen,Smoki,Smoki</v>
      </c>
      <c r="S26" s="1">
        <v>1</v>
      </c>
      <c r="T26" s="1">
        <v>1</v>
      </c>
      <c r="U26" s="1" t="str">
        <f t="shared" si="7"/>
        <v>http://usfh.ch/img/Rauch_Grill/101753.jpg</v>
      </c>
      <c r="V26" s="1">
        <f t="shared" si="4"/>
        <v>101753</v>
      </c>
      <c r="W26" s="4">
        <f t="shared" si="5"/>
        <v>51</v>
      </c>
      <c r="X26" s="4">
        <f t="shared" si="6"/>
        <v>25</v>
      </c>
      <c r="Y26" s="1">
        <v>0.3</v>
      </c>
    </row>
    <row r="27" spans="1:25" ht="15" customHeight="1" x14ac:dyDescent="0.2">
      <c r="E27" s="11"/>
      <c r="H27" s="13"/>
      <c r="J27" s="13"/>
      <c r="N27" s="10"/>
      <c r="O27" s="11"/>
      <c r="W27" s="12">
        <f>SUM(W2:W25)</f>
        <v>3103</v>
      </c>
      <c r="X27" s="12"/>
    </row>
    <row r="28" spans="1:25" ht="15" customHeight="1" x14ac:dyDescent="0.2">
      <c r="E28" s="11"/>
      <c r="H28" s="13"/>
      <c r="J28" s="13"/>
      <c r="N28" s="10"/>
      <c r="O28" s="11"/>
      <c r="W28" s="12"/>
      <c r="X28" s="12"/>
    </row>
    <row r="29" spans="1:25" ht="15" customHeight="1" x14ac:dyDescent="0.2">
      <c r="E29" s="11"/>
      <c r="H29" s="13"/>
      <c r="J29" s="13"/>
      <c r="N29" s="10"/>
      <c r="O29" s="11"/>
      <c r="W29" s="12"/>
      <c r="X29" s="12"/>
    </row>
    <row r="30" spans="1:25" ht="15" customHeight="1" x14ac:dyDescent="0.2">
      <c r="H30" s="13"/>
      <c r="J30" s="13"/>
      <c r="N30" s="14"/>
      <c r="O30" s="11"/>
      <c r="W30" s="12"/>
      <c r="X30" s="12"/>
    </row>
    <row r="31" spans="1:25" ht="15" customHeight="1" x14ac:dyDescent="0.2">
      <c r="H31" s="13"/>
      <c r="J31" s="13"/>
      <c r="N31" s="14"/>
      <c r="O31" s="11"/>
      <c r="W31" s="12"/>
      <c r="X31" s="12"/>
    </row>
    <row r="32" spans="1:25" ht="15" customHeight="1" thickBot="1" x14ac:dyDescent="0.25">
      <c r="H32" s="9">
        <f>SUM(W2:W26)</f>
        <v>3154</v>
      </c>
      <c r="I32" s="9">
        <f>SUM(X2:X23)</f>
        <v>1342.25</v>
      </c>
      <c r="J32" s="13"/>
      <c r="N32" s="14"/>
      <c r="O32" s="11"/>
      <c r="W32" s="12"/>
      <c r="X32" s="12"/>
    </row>
    <row r="33" spans="14:15" ht="15" customHeight="1" thickTop="1" x14ac:dyDescent="0.2">
      <c r="N33" s="10"/>
      <c r="O33" s="11"/>
    </row>
    <row r="34" spans="14:15" ht="15" customHeight="1" x14ac:dyDescent="0.2">
      <c r="N34" s="10"/>
      <c r="O34" s="11"/>
    </row>
    <row r="35" spans="14:15" ht="15" customHeight="1" x14ac:dyDescent="0.2">
      <c r="N35" s="10"/>
      <c r="O35" s="11"/>
    </row>
    <row r="36" spans="14:15" ht="15" customHeight="1" x14ac:dyDescent="0.2">
      <c r="N36" s="10"/>
      <c r="O36" s="11"/>
    </row>
    <row r="37" spans="14:15" ht="15" customHeight="1" x14ac:dyDescent="0.2">
      <c r="N37" s="10"/>
      <c r="O37" s="11"/>
    </row>
    <row r="38" spans="14:15" ht="15" customHeight="1" x14ac:dyDescent="0.2">
      <c r="N38" s="10"/>
      <c r="O38" s="11"/>
    </row>
    <row r="39" spans="14:15" ht="15" customHeight="1" x14ac:dyDescent="0.2">
      <c r="N39" s="10"/>
      <c r="O39" s="11"/>
    </row>
    <row r="40" spans="14:15" ht="15" customHeight="1" x14ac:dyDescent="0.2">
      <c r="N40" s="10"/>
      <c r="O40" s="11"/>
    </row>
    <row r="41" spans="14:15" ht="15" customHeight="1" x14ac:dyDescent="0.2">
      <c r="N41" s="10"/>
      <c r="O41" s="11"/>
    </row>
    <row r="42" spans="14:15" ht="15" customHeight="1" x14ac:dyDescent="0.2">
      <c r="N42" s="10"/>
      <c r="O42" s="11"/>
    </row>
    <row r="43" spans="14:15" ht="15" customHeight="1" x14ac:dyDescent="0.2">
      <c r="N43" s="10"/>
      <c r="O43" s="11"/>
    </row>
    <row r="44" spans="14:15" x14ac:dyDescent="0.2">
      <c r="N44" s="10"/>
      <c r="O44" s="11"/>
    </row>
    <row r="45" spans="14:15" x14ac:dyDescent="0.2">
      <c r="N45" s="10"/>
      <c r="O45" s="11"/>
    </row>
    <row r="46" spans="14:15" x14ac:dyDescent="0.2">
      <c r="N46" s="10"/>
      <c r="O46" s="11"/>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 Rauch_Grill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Urs Schwendener</cp:lastModifiedBy>
  <cp:lastPrinted>2025-10-08T07:53:50Z</cp:lastPrinted>
  <dcterms:created xsi:type="dcterms:W3CDTF">2023-06-14T13:57:13Z</dcterms:created>
  <dcterms:modified xsi:type="dcterms:W3CDTF">2026-04-25T11:09:23Z</dcterms:modified>
</cp:coreProperties>
</file>