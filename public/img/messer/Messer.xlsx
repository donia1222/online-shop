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K:\Privat\US_FH\web_shop\Neuer shop\Messer\"/>
    </mc:Choice>
  </mc:AlternateContent>
  <xr:revisionPtr revIDLastSave="0" documentId="13_ncr:1_{717FBC8F-822A-4C62-907F-B06212BC0C97}" xr6:coauthVersionLast="47" xr6:coauthVersionMax="47" xr10:uidLastSave="{00000000-0000-0000-0000-000000000000}"/>
  <bookViews>
    <workbookView xWindow="-120" yWindow="-120" windowWidth="29040" windowHeight="15720" tabRatio="884" xr2:uid="{5C413A35-37CD-4FC7-9B0F-E46798A10454}"/>
  </bookViews>
  <sheets>
    <sheet name="Messer"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13" i="2" l="1"/>
  <c r="Z313" i="2"/>
  <c r="AA313" i="2"/>
  <c r="AB313" i="2"/>
  <c r="O167" i="2" l="1"/>
  <c r="T167" i="2"/>
  <c r="V167" i="2" s="1"/>
  <c r="U167" i="2"/>
  <c r="Y167" i="2"/>
  <c r="Z167" i="2"/>
  <c r="AA167" i="2"/>
  <c r="AB167" i="2"/>
  <c r="O313" i="2" l="1"/>
  <c r="O307" i="2"/>
  <c r="T307" i="2"/>
  <c r="V307" i="2" s="1"/>
  <c r="U307" i="2"/>
  <c r="Y307" i="2"/>
  <c r="Z307" i="2"/>
  <c r="AA307" i="2"/>
  <c r="AB307" i="2"/>
  <c r="O308" i="2"/>
  <c r="T308" i="2"/>
  <c r="V308" i="2" s="1"/>
  <c r="U308" i="2"/>
  <c r="Y308" i="2"/>
  <c r="Z308" i="2"/>
  <c r="AA308" i="2"/>
  <c r="AB308" i="2"/>
  <c r="O309" i="2"/>
  <c r="T309" i="2"/>
  <c r="V309" i="2" s="1"/>
  <c r="U309" i="2"/>
  <c r="Y309" i="2"/>
  <c r="Z309" i="2"/>
  <c r="AA309" i="2"/>
  <c r="AB309" i="2"/>
  <c r="O310" i="2"/>
  <c r="T310" i="2"/>
  <c r="V310" i="2" s="1"/>
  <c r="U310" i="2"/>
  <c r="Y310" i="2"/>
  <c r="Z310" i="2"/>
  <c r="AA310" i="2"/>
  <c r="AB310" i="2"/>
  <c r="O311" i="2"/>
  <c r="T311" i="2"/>
  <c r="V311" i="2" s="1"/>
  <c r="U311" i="2"/>
  <c r="Y311" i="2"/>
  <c r="Z311" i="2"/>
  <c r="AA311" i="2"/>
  <c r="AB311" i="2"/>
  <c r="O312" i="2"/>
  <c r="T312" i="2"/>
  <c r="V312" i="2" s="1"/>
  <c r="U312" i="2"/>
  <c r="Y312" i="2"/>
  <c r="Z312" i="2"/>
  <c r="AA312" i="2"/>
  <c r="AB312" i="2"/>
  <c r="T313" i="2"/>
  <c r="V313" i="2" s="1"/>
  <c r="U313" i="2"/>
  <c r="O306" i="2"/>
  <c r="T306" i="2"/>
  <c r="V306" i="2" s="1"/>
  <c r="U306" i="2"/>
  <c r="Y306" i="2"/>
  <c r="Z306" i="2"/>
  <c r="AA306" i="2"/>
  <c r="AB306" i="2"/>
  <c r="O305" i="2" l="1"/>
  <c r="T305" i="2"/>
  <c r="V305" i="2" s="1"/>
  <c r="U305" i="2"/>
  <c r="Y305" i="2"/>
  <c r="Z305" i="2"/>
  <c r="AA305" i="2"/>
  <c r="AB305" i="2"/>
  <c r="O304" i="2"/>
  <c r="T304" i="2"/>
  <c r="V304" i="2" s="1"/>
  <c r="U304" i="2"/>
  <c r="Y304" i="2"/>
  <c r="Z304" i="2"/>
  <c r="AA304" i="2"/>
  <c r="AB304" i="2"/>
  <c r="O303" i="2"/>
  <c r="T303" i="2"/>
  <c r="V303" i="2" s="1"/>
  <c r="U303" i="2"/>
  <c r="Y303" i="2"/>
  <c r="Z303" i="2"/>
  <c r="AA303" i="2"/>
  <c r="AB303" i="2"/>
  <c r="O302" i="2"/>
  <c r="T302" i="2"/>
  <c r="V302" i="2" s="1"/>
  <c r="U302" i="2"/>
  <c r="Y302" i="2"/>
  <c r="Z302" i="2"/>
  <c r="AA302" i="2"/>
  <c r="AB302" i="2"/>
  <c r="O301" i="2"/>
  <c r="T301" i="2"/>
  <c r="V301" i="2" s="1"/>
  <c r="U301" i="2"/>
  <c r="Y301" i="2"/>
  <c r="Z301" i="2"/>
  <c r="AA301" i="2"/>
  <c r="AB301" i="2"/>
  <c r="O300" i="2"/>
  <c r="T300" i="2"/>
  <c r="V300" i="2" s="1"/>
  <c r="U300" i="2"/>
  <c r="Y300" i="2"/>
  <c r="Z300" i="2"/>
  <c r="AA300" i="2"/>
  <c r="AB300" i="2"/>
  <c r="O299" i="2"/>
  <c r="T299" i="2"/>
  <c r="V299" i="2" s="1"/>
  <c r="U299" i="2"/>
  <c r="Y299" i="2"/>
  <c r="Z299" i="2"/>
  <c r="AA299" i="2"/>
  <c r="AB299" i="2"/>
  <c r="O298" i="2" l="1"/>
  <c r="T298" i="2"/>
  <c r="V298" i="2" s="1"/>
  <c r="U298" i="2"/>
  <c r="Y298" i="2"/>
  <c r="Z298" i="2"/>
  <c r="AA298" i="2"/>
  <c r="AB298" i="2"/>
  <c r="O297" i="2"/>
  <c r="T297" i="2"/>
  <c r="V297" i="2" s="1"/>
  <c r="U297" i="2"/>
  <c r="Y297" i="2"/>
  <c r="Z297" i="2"/>
  <c r="AA297" i="2"/>
  <c r="AB297" i="2"/>
  <c r="O296" i="2"/>
  <c r="T296" i="2"/>
  <c r="V296" i="2" s="1"/>
  <c r="U296" i="2"/>
  <c r="Y296" i="2"/>
  <c r="Z296" i="2"/>
  <c r="AA296" i="2"/>
  <c r="AB296" i="2"/>
  <c r="O295" i="2"/>
  <c r="T295" i="2"/>
  <c r="V295" i="2" s="1"/>
  <c r="U295" i="2"/>
  <c r="Y295" i="2"/>
  <c r="Z295" i="2"/>
  <c r="AA295" i="2"/>
  <c r="AB295" i="2"/>
  <c r="O294" i="2"/>
  <c r="T294" i="2"/>
  <c r="V294" i="2" s="1"/>
  <c r="U294" i="2"/>
  <c r="Y294" i="2"/>
  <c r="Z294" i="2"/>
  <c r="AA294" i="2"/>
  <c r="AB294" i="2"/>
  <c r="O293" i="2"/>
  <c r="T293" i="2"/>
  <c r="V293" i="2" s="1"/>
  <c r="U293" i="2"/>
  <c r="Y293" i="2"/>
  <c r="Z293" i="2"/>
  <c r="AA293" i="2"/>
  <c r="AB293" i="2"/>
  <c r="O292" i="2"/>
  <c r="T292" i="2"/>
  <c r="V292" i="2" s="1"/>
  <c r="U292" i="2"/>
  <c r="Y292" i="2"/>
  <c r="Z292" i="2"/>
  <c r="AA292" i="2"/>
  <c r="AB292" i="2"/>
  <c r="O288" i="2" l="1"/>
  <c r="T288" i="2"/>
  <c r="V288" i="2" s="1"/>
  <c r="U288" i="2"/>
  <c r="Y288" i="2"/>
  <c r="Z288" i="2"/>
  <c r="AA288" i="2"/>
  <c r="AB288" i="2"/>
  <c r="O289" i="2"/>
  <c r="T289" i="2"/>
  <c r="V289" i="2" s="1"/>
  <c r="U289" i="2"/>
  <c r="Y289" i="2"/>
  <c r="Z289" i="2"/>
  <c r="AA289" i="2"/>
  <c r="AB289" i="2"/>
  <c r="O290" i="2"/>
  <c r="T290" i="2"/>
  <c r="V290" i="2" s="1"/>
  <c r="U290" i="2"/>
  <c r="Y290" i="2"/>
  <c r="Z290" i="2"/>
  <c r="AA290" i="2"/>
  <c r="AB290" i="2"/>
  <c r="O291" i="2"/>
  <c r="T291" i="2"/>
  <c r="V291" i="2" s="1"/>
  <c r="U291" i="2"/>
  <c r="Y291" i="2"/>
  <c r="Z291" i="2"/>
  <c r="AA291" i="2"/>
  <c r="AB291" i="2"/>
  <c r="O287" i="2" l="1"/>
  <c r="T287" i="2"/>
  <c r="V287" i="2" s="1"/>
  <c r="U287" i="2"/>
  <c r="Y287" i="2"/>
  <c r="Z287" i="2"/>
  <c r="AA287" i="2"/>
  <c r="AB28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T256" i="2"/>
  <c r="T257" i="2"/>
  <c r="T258" i="2"/>
  <c r="V258" i="2" s="1"/>
  <c r="T259" i="2"/>
  <c r="V259" i="2" s="1"/>
  <c r="T260" i="2"/>
  <c r="V260" i="2" s="1"/>
  <c r="T261" i="2"/>
  <c r="V261" i="2" s="1"/>
  <c r="T262" i="2"/>
  <c r="V262" i="2" s="1"/>
  <c r="T263" i="2"/>
  <c r="V263" i="2" s="1"/>
  <c r="T264" i="2"/>
  <c r="V264" i="2" s="1"/>
  <c r="T265" i="2"/>
  <c r="V265" i="2" s="1"/>
  <c r="T266" i="2"/>
  <c r="V266" i="2" s="1"/>
  <c r="T267" i="2"/>
  <c r="V267" i="2" s="1"/>
  <c r="T268" i="2"/>
  <c r="V268" i="2" s="1"/>
  <c r="T269" i="2"/>
  <c r="V269" i="2" s="1"/>
  <c r="T270" i="2"/>
  <c r="V270" i="2" s="1"/>
  <c r="T271" i="2"/>
  <c r="V271" i="2" s="1"/>
  <c r="T272" i="2"/>
  <c r="V272" i="2" s="1"/>
  <c r="T273" i="2"/>
  <c r="V273" i="2" s="1"/>
  <c r="T274" i="2"/>
  <c r="V274" i="2" s="1"/>
  <c r="T275" i="2"/>
  <c r="V275" i="2" s="1"/>
  <c r="T276" i="2"/>
  <c r="V276" i="2" s="1"/>
  <c r="T277" i="2"/>
  <c r="V277" i="2" s="1"/>
  <c r="T278" i="2"/>
  <c r="V278" i="2" s="1"/>
  <c r="T279" i="2"/>
  <c r="V279" i="2" s="1"/>
  <c r="T280" i="2"/>
  <c r="V280" i="2" s="1"/>
  <c r="T281" i="2"/>
  <c r="V281" i="2" s="1"/>
  <c r="T282" i="2"/>
  <c r="V282" i="2" s="1"/>
  <c r="T283" i="2"/>
  <c r="V283" i="2" s="1"/>
  <c r="T284" i="2"/>
  <c r="V284" i="2" s="1"/>
  <c r="T285" i="2"/>
  <c r="V285" i="2" s="1"/>
  <c r="T286" i="2"/>
  <c r="V286" i="2" s="1"/>
  <c r="AA238" i="2"/>
  <c r="AB238" i="2"/>
  <c r="AA239" i="2"/>
  <c r="AB239" i="2"/>
  <c r="AA240" i="2"/>
  <c r="AB240" i="2"/>
  <c r="AA241" i="2"/>
  <c r="AB241" i="2"/>
  <c r="AA242" i="2"/>
  <c r="AB242" i="2"/>
  <c r="AA243" i="2"/>
  <c r="AB243" i="2"/>
  <c r="AA244" i="2"/>
  <c r="AB244" i="2"/>
  <c r="AA245" i="2"/>
  <c r="AB245" i="2"/>
  <c r="AA246" i="2"/>
  <c r="AB246" i="2"/>
  <c r="AA247" i="2"/>
  <c r="AB247" i="2"/>
  <c r="AA248" i="2"/>
  <c r="AB248" i="2"/>
  <c r="AA249" i="2"/>
  <c r="AB249" i="2"/>
  <c r="AA250" i="2"/>
  <c r="AB250" i="2"/>
  <c r="AA251" i="2"/>
  <c r="AB251" i="2"/>
  <c r="AA252" i="2"/>
  <c r="AB252" i="2"/>
  <c r="AA253" i="2"/>
  <c r="AB253" i="2"/>
  <c r="AA254" i="2"/>
  <c r="AB254" i="2"/>
  <c r="AA255" i="2"/>
  <c r="AB255" i="2"/>
  <c r="AA256" i="2"/>
  <c r="AB256" i="2"/>
  <c r="AA257" i="2"/>
  <c r="AB257" i="2"/>
  <c r="AA258" i="2"/>
  <c r="AB258" i="2"/>
  <c r="AA259" i="2"/>
  <c r="AB259" i="2"/>
  <c r="AA260" i="2"/>
  <c r="AB260" i="2"/>
  <c r="AA261" i="2"/>
  <c r="AB261" i="2"/>
  <c r="AA262" i="2"/>
  <c r="AB262" i="2"/>
  <c r="AA263" i="2"/>
  <c r="AB263" i="2"/>
  <c r="AA264" i="2"/>
  <c r="AB264" i="2"/>
  <c r="AA265" i="2"/>
  <c r="AB265" i="2"/>
  <c r="AA266" i="2"/>
  <c r="AB266" i="2"/>
  <c r="AA267" i="2"/>
  <c r="AB267" i="2"/>
  <c r="AA268" i="2"/>
  <c r="AB268" i="2"/>
  <c r="AA269" i="2"/>
  <c r="AB269" i="2"/>
  <c r="AA270" i="2"/>
  <c r="AB270" i="2"/>
  <c r="AA271" i="2"/>
  <c r="AB271" i="2"/>
  <c r="AA272" i="2"/>
  <c r="AB272" i="2"/>
  <c r="AA273" i="2"/>
  <c r="AB273" i="2"/>
  <c r="AA274" i="2"/>
  <c r="AB274" i="2"/>
  <c r="AA275" i="2"/>
  <c r="AB275" i="2"/>
  <c r="AA276" i="2"/>
  <c r="AB276" i="2"/>
  <c r="AA277" i="2"/>
  <c r="AB277" i="2"/>
  <c r="AA278" i="2"/>
  <c r="AB278" i="2"/>
  <c r="AA279" i="2"/>
  <c r="AB279" i="2"/>
  <c r="AA280" i="2"/>
  <c r="AB280" i="2"/>
  <c r="AA281" i="2"/>
  <c r="AB281" i="2"/>
  <c r="AA282" i="2"/>
  <c r="AB282" i="2"/>
  <c r="AA283" i="2"/>
  <c r="AB283" i="2"/>
  <c r="AA284" i="2"/>
  <c r="AB284" i="2"/>
  <c r="AA285" i="2"/>
  <c r="AB285" i="2"/>
  <c r="AA286" i="2"/>
  <c r="AB286" i="2"/>
  <c r="O281" i="2"/>
  <c r="Y281" i="2"/>
  <c r="Z281" i="2"/>
  <c r="O282" i="2"/>
  <c r="Y282" i="2"/>
  <c r="Z282" i="2"/>
  <c r="O283" i="2"/>
  <c r="Y283" i="2"/>
  <c r="Z283" i="2"/>
  <c r="O284" i="2"/>
  <c r="Y284" i="2"/>
  <c r="Z284" i="2"/>
  <c r="O285" i="2"/>
  <c r="Y285" i="2"/>
  <c r="Z285" i="2"/>
  <c r="O286" i="2"/>
  <c r="Y286" i="2"/>
  <c r="Z286"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Y273" i="2"/>
  <c r="Y274" i="2"/>
  <c r="Y275" i="2"/>
  <c r="Y276" i="2"/>
  <c r="Y277" i="2"/>
  <c r="Y278" i="2"/>
  <c r="Y279" i="2"/>
  <c r="Y280" i="2"/>
  <c r="Y255" i="2"/>
  <c r="Y256" i="2"/>
  <c r="Y257" i="2"/>
  <c r="Y258" i="2"/>
  <c r="Y259" i="2"/>
  <c r="Y260" i="2"/>
  <c r="Y261" i="2"/>
  <c r="Y262" i="2"/>
  <c r="Y263" i="2"/>
  <c r="Y264" i="2"/>
  <c r="Y265" i="2"/>
  <c r="Y266" i="2"/>
  <c r="Y267" i="2"/>
  <c r="Y268" i="2"/>
  <c r="Y269" i="2"/>
  <c r="Y270" i="2"/>
  <c r="Y271" i="2"/>
  <c r="Y272" i="2"/>
  <c r="Y250" i="2"/>
  <c r="Y251" i="2"/>
  <c r="Y252" i="2"/>
  <c r="Y253" i="2"/>
  <c r="Y254" i="2"/>
  <c r="Y249" i="2"/>
  <c r="Y248" i="2"/>
  <c r="O280" i="2"/>
  <c r="Y242" i="2" l="1"/>
  <c r="Y243" i="2"/>
  <c r="Y244" i="2"/>
  <c r="Y245" i="2"/>
  <c r="Y246" i="2"/>
  <c r="Y247" i="2"/>
  <c r="O267" i="2"/>
  <c r="O268" i="2"/>
  <c r="O269" i="2"/>
  <c r="O270" i="2"/>
  <c r="O271" i="2"/>
  <c r="O272" i="2"/>
  <c r="O273" i="2"/>
  <c r="O274" i="2"/>
  <c r="O275" i="2"/>
  <c r="O276" i="2"/>
  <c r="O277" i="2"/>
  <c r="O278" i="2"/>
  <c r="O279" i="2"/>
  <c r="O266" i="2"/>
  <c r="O255" i="2" l="1"/>
  <c r="T255" i="2"/>
  <c r="V255" i="2" s="1"/>
  <c r="U255" i="2"/>
  <c r="O256" i="2"/>
  <c r="V256" i="2"/>
  <c r="U256" i="2"/>
  <c r="O265" i="2" l="1"/>
  <c r="O264" i="2"/>
  <c r="O263" i="2"/>
  <c r="O261" i="2"/>
  <c r="O262" i="2"/>
  <c r="O260" i="2"/>
  <c r="O259" i="2"/>
  <c r="O258" i="2"/>
  <c r="O257" i="2"/>
  <c r="V257" i="2"/>
  <c r="U257" i="2"/>
  <c r="O253" i="2" l="1"/>
  <c r="T253" i="2"/>
  <c r="V253" i="2" s="1"/>
  <c r="U253" i="2"/>
  <c r="O254" i="2"/>
  <c r="T254" i="2"/>
  <c r="V254" i="2" s="1"/>
  <c r="U254" i="2"/>
  <c r="O251" i="2" l="1"/>
  <c r="T251" i="2"/>
  <c r="V251" i="2" s="1"/>
  <c r="U251" i="2"/>
  <c r="O252" i="2" l="1"/>
  <c r="T252" i="2"/>
  <c r="V252" i="2" s="1"/>
  <c r="U252" i="2"/>
  <c r="O248" i="2"/>
  <c r="O249" i="2"/>
  <c r="O250" i="2"/>
  <c r="O244" i="2"/>
  <c r="T244" i="2"/>
  <c r="V244" i="2" s="1"/>
  <c r="U244" i="2"/>
  <c r="O245" i="2"/>
  <c r="T245" i="2"/>
  <c r="V245" i="2" s="1"/>
  <c r="U245" i="2"/>
  <c r="O246" i="2"/>
  <c r="T246" i="2"/>
  <c r="V246" i="2" s="1"/>
  <c r="U246" i="2"/>
  <c r="O247" i="2"/>
  <c r="T247" i="2"/>
  <c r="V247" i="2" s="1"/>
  <c r="U247" i="2"/>
  <c r="T248" i="2"/>
  <c r="V248" i="2" s="1"/>
  <c r="U248" i="2"/>
  <c r="T249" i="2"/>
  <c r="V249" i="2" s="1"/>
  <c r="U249" i="2"/>
  <c r="T250" i="2"/>
  <c r="V250" i="2" s="1"/>
  <c r="U250" i="2"/>
  <c r="O243" i="2"/>
  <c r="T243" i="2"/>
  <c r="V243" i="2" s="1"/>
  <c r="U243" i="2"/>
  <c r="O239" i="2" l="1"/>
  <c r="T239" i="2"/>
  <c r="V239" i="2" s="1"/>
  <c r="U239" i="2"/>
  <c r="Y239" i="2"/>
  <c r="O240" i="2"/>
  <c r="T240" i="2"/>
  <c r="V240" i="2" s="1"/>
  <c r="U240" i="2"/>
  <c r="Y240" i="2"/>
  <c r="O241" i="2"/>
  <c r="T241" i="2"/>
  <c r="V241" i="2" s="1"/>
  <c r="U241" i="2"/>
  <c r="Y241" i="2"/>
  <c r="Y238" i="2" l="1"/>
  <c r="U238" i="2"/>
  <c r="T238" i="2"/>
  <c r="V238" i="2" s="1"/>
  <c r="O238" i="2"/>
  <c r="AB237" i="2"/>
  <c r="AA237" i="2"/>
  <c r="Y237" i="2"/>
  <c r="U237" i="2"/>
  <c r="T237" i="2"/>
  <c r="V237" i="2" s="1"/>
  <c r="O237" i="2"/>
  <c r="U242" i="2"/>
  <c r="T242" i="2"/>
  <c r="V242" i="2" s="1"/>
  <c r="O242" i="2"/>
  <c r="AB236" i="2"/>
  <c r="AA236" i="2"/>
  <c r="Y236" i="2"/>
  <c r="U236" i="2"/>
  <c r="T236" i="2"/>
  <c r="V236" i="2" s="1"/>
  <c r="O236" i="2"/>
  <c r="AB235" i="2"/>
  <c r="AA235" i="2"/>
  <c r="Y235" i="2"/>
  <c r="U235" i="2"/>
  <c r="T235" i="2"/>
  <c r="V235" i="2" s="1"/>
  <c r="O235" i="2"/>
  <c r="AB234" i="2"/>
  <c r="AA234" i="2"/>
  <c r="Y234" i="2"/>
  <c r="U234" i="2"/>
  <c r="T234" i="2"/>
  <c r="V234" i="2" s="1"/>
  <c r="O234" i="2"/>
  <c r="AB233" i="2"/>
  <c r="AA233" i="2"/>
  <c r="Y233" i="2"/>
  <c r="U233" i="2"/>
  <c r="T233" i="2"/>
  <c r="V233" i="2" s="1"/>
  <c r="O233" i="2"/>
  <c r="AB232" i="2"/>
  <c r="AA232" i="2"/>
  <c r="Y232" i="2"/>
  <c r="U232" i="2"/>
  <c r="T232" i="2"/>
  <c r="V232" i="2" s="1"/>
  <c r="O232" i="2"/>
  <c r="AB231" i="2"/>
  <c r="AA231" i="2"/>
  <c r="Z231" i="2"/>
  <c r="Y231" i="2"/>
  <c r="U231" i="2"/>
  <c r="T231" i="2"/>
  <c r="V231" i="2" s="1"/>
  <c r="O231" i="2"/>
  <c r="AB230" i="2"/>
  <c r="AA230" i="2"/>
  <c r="Z230" i="2"/>
  <c r="Y230" i="2"/>
  <c r="U230" i="2"/>
  <c r="T230" i="2"/>
  <c r="V230" i="2" s="1"/>
  <c r="O230" i="2"/>
  <c r="AB229" i="2"/>
  <c r="AA229" i="2"/>
  <c r="Z229" i="2"/>
  <c r="Y229" i="2"/>
  <c r="U229" i="2"/>
  <c r="T229" i="2"/>
  <c r="V229" i="2" s="1"/>
  <c r="O229" i="2"/>
  <c r="AB228" i="2"/>
  <c r="AA228" i="2"/>
  <c r="Z228" i="2"/>
  <c r="Y228" i="2"/>
  <c r="U228" i="2"/>
  <c r="T228" i="2"/>
  <c r="V228" i="2" s="1"/>
  <c r="O228" i="2"/>
  <c r="AB227" i="2"/>
  <c r="AA227" i="2"/>
  <c r="Z227" i="2"/>
  <c r="Y227" i="2"/>
  <c r="U227" i="2"/>
  <c r="T227" i="2"/>
  <c r="V227" i="2" s="1"/>
  <c r="O227" i="2"/>
  <c r="AB226" i="2"/>
  <c r="AA226" i="2"/>
  <c r="Z226" i="2"/>
  <c r="Y226" i="2"/>
  <c r="U226" i="2"/>
  <c r="T226" i="2"/>
  <c r="V226" i="2" s="1"/>
  <c r="O226" i="2"/>
  <c r="AB225" i="2"/>
  <c r="AA225" i="2"/>
  <c r="Z225" i="2"/>
  <c r="Y225" i="2"/>
  <c r="U225" i="2"/>
  <c r="T225" i="2"/>
  <c r="V225" i="2" s="1"/>
  <c r="O225" i="2"/>
  <c r="AB224" i="2"/>
  <c r="AA224" i="2"/>
  <c r="Z224" i="2"/>
  <c r="Y224" i="2"/>
  <c r="U224" i="2"/>
  <c r="T224" i="2"/>
  <c r="V224" i="2" s="1"/>
  <c r="O224" i="2"/>
  <c r="AB223" i="2"/>
  <c r="AA223" i="2"/>
  <c r="Z223" i="2"/>
  <c r="Y223" i="2"/>
  <c r="U223" i="2"/>
  <c r="T223" i="2"/>
  <c r="V223" i="2" s="1"/>
  <c r="O223" i="2"/>
  <c r="AB222" i="2"/>
  <c r="AA222" i="2"/>
  <c r="Z222" i="2"/>
  <c r="Y222" i="2"/>
  <c r="U222" i="2"/>
  <c r="T222" i="2"/>
  <c r="V222" i="2" s="1"/>
  <c r="O222" i="2"/>
  <c r="AB221" i="2"/>
  <c r="AA221" i="2"/>
  <c r="Z221" i="2"/>
  <c r="Y221" i="2"/>
  <c r="U221" i="2"/>
  <c r="T221" i="2"/>
  <c r="V221" i="2" s="1"/>
  <c r="O221" i="2"/>
  <c r="AB220" i="2"/>
  <c r="AA220" i="2"/>
  <c r="Z220" i="2"/>
  <c r="Y220" i="2"/>
  <c r="U220" i="2"/>
  <c r="T220" i="2"/>
  <c r="V220" i="2" s="1"/>
  <c r="O220" i="2"/>
  <c r="AB219" i="2"/>
  <c r="AA219" i="2"/>
  <c r="Z219" i="2"/>
  <c r="Y219" i="2"/>
  <c r="U219" i="2"/>
  <c r="T219" i="2"/>
  <c r="V219" i="2" s="1"/>
  <c r="O219" i="2"/>
  <c r="AB218" i="2"/>
  <c r="AA218" i="2"/>
  <c r="Z218" i="2"/>
  <c r="Y218" i="2"/>
  <c r="U218" i="2"/>
  <c r="T218" i="2"/>
  <c r="V218" i="2" s="1"/>
  <c r="O218" i="2"/>
  <c r="AB217" i="2"/>
  <c r="AA217" i="2"/>
  <c r="Z217" i="2"/>
  <c r="Y217" i="2"/>
  <c r="U217" i="2"/>
  <c r="T217" i="2"/>
  <c r="V217" i="2" s="1"/>
  <c r="O217" i="2"/>
  <c r="AB216" i="2"/>
  <c r="AA216" i="2"/>
  <c r="Z216" i="2"/>
  <c r="Y216" i="2"/>
  <c r="U216" i="2"/>
  <c r="T216" i="2"/>
  <c r="V216" i="2" s="1"/>
  <c r="O216" i="2"/>
  <c r="AB215" i="2"/>
  <c r="AA215" i="2"/>
  <c r="Z215" i="2"/>
  <c r="Y215" i="2"/>
  <c r="U215" i="2"/>
  <c r="T215" i="2"/>
  <c r="V215" i="2" s="1"/>
  <c r="O215" i="2"/>
  <c r="AB214" i="2"/>
  <c r="AA214" i="2"/>
  <c r="Z214" i="2"/>
  <c r="Y214" i="2"/>
  <c r="U214" i="2"/>
  <c r="T214" i="2"/>
  <c r="V214" i="2" s="1"/>
  <c r="O214" i="2"/>
  <c r="AB213" i="2"/>
  <c r="AA213" i="2"/>
  <c r="Z213" i="2"/>
  <c r="Y213" i="2"/>
  <c r="U213" i="2"/>
  <c r="T213" i="2"/>
  <c r="V213" i="2" s="1"/>
  <c r="O213" i="2"/>
  <c r="AB212" i="2"/>
  <c r="AA212" i="2"/>
  <c r="Z212" i="2"/>
  <c r="Y212" i="2"/>
  <c r="U212" i="2"/>
  <c r="T212" i="2"/>
  <c r="V212" i="2" s="1"/>
  <c r="O212" i="2"/>
  <c r="AB211" i="2"/>
  <c r="AA211" i="2"/>
  <c r="Z211" i="2"/>
  <c r="Y211" i="2"/>
  <c r="U211" i="2"/>
  <c r="T211" i="2"/>
  <c r="V211" i="2" s="1"/>
  <c r="O211" i="2"/>
  <c r="AB210" i="2"/>
  <c r="AA210" i="2"/>
  <c r="Z210" i="2"/>
  <c r="Y210" i="2"/>
  <c r="U210" i="2"/>
  <c r="T210" i="2"/>
  <c r="V210" i="2" s="1"/>
  <c r="O210" i="2"/>
  <c r="AB209" i="2"/>
  <c r="AA209" i="2"/>
  <c r="Z209" i="2"/>
  <c r="Y209" i="2"/>
  <c r="U209" i="2"/>
  <c r="T209" i="2"/>
  <c r="V209" i="2" s="1"/>
  <c r="O209" i="2"/>
  <c r="AB208" i="2"/>
  <c r="AA208" i="2"/>
  <c r="Z208" i="2"/>
  <c r="Y208" i="2"/>
  <c r="U208" i="2"/>
  <c r="T208" i="2"/>
  <c r="V208" i="2" s="1"/>
  <c r="O208" i="2"/>
  <c r="AB207" i="2"/>
  <c r="AA207" i="2"/>
  <c r="Z207" i="2"/>
  <c r="Y207" i="2"/>
  <c r="U207" i="2"/>
  <c r="T207" i="2"/>
  <c r="V207" i="2" s="1"/>
  <c r="O207" i="2"/>
  <c r="AB206" i="2"/>
  <c r="AA206" i="2"/>
  <c r="Z206" i="2"/>
  <c r="Y206" i="2"/>
  <c r="U206" i="2"/>
  <c r="T206" i="2"/>
  <c r="V206" i="2" s="1"/>
  <c r="O206" i="2"/>
  <c r="AB205" i="2"/>
  <c r="AA205" i="2"/>
  <c r="Z205" i="2"/>
  <c r="Y205" i="2"/>
  <c r="U205" i="2"/>
  <c r="T205" i="2"/>
  <c r="V205" i="2" s="1"/>
  <c r="O205" i="2"/>
  <c r="AB204" i="2"/>
  <c r="AA204" i="2"/>
  <c r="Z204" i="2"/>
  <c r="Y204" i="2"/>
  <c r="U204" i="2"/>
  <c r="T204" i="2"/>
  <c r="V204" i="2" s="1"/>
  <c r="O204" i="2"/>
  <c r="AB203" i="2"/>
  <c r="AA203" i="2"/>
  <c r="Z203" i="2"/>
  <c r="Y203" i="2"/>
  <c r="U203" i="2"/>
  <c r="T203" i="2"/>
  <c r="V203" i="2" s="1"/>
  <c r="O203" i="2"/>
  <c r="AB202" i="2"/>
  <c r="AA202" i="2"/>
  <c r="Z202" i="2"/>
  <c r="Y202" i="2"/>
  <c r="U202" i="2"/>
  <c r="T202" i="2"/>
  <c r="V202" i="2" s="1"/>
  <c r="O202" i="2"/>
  <c r="AB201" i="2"/>
  <c r="AA201" i="2"/>
  <c r="Z201" i="2"/>
  <c r="Y201" i="2"/>
  <c r="U201" i="2"/>
  <c r="T201" i="2"/>
  <c r="V201" i="2" s="1"/>
  <c r="O201" i="2"/>
  <c r="AB200" i="2"/>
  <c r="AA200" i="2"/>
  <c r="Z200" i="2"/>
  <c r="Y200" i="2"/>
  <c r="U200" i="2"/>
  <c r="T200" i="2"/>
  <c r="V200" i="2" s="1"/>
  <c r="O200" i="2"/>
  <c r="AB199" i="2"/>
  <c r="AA199" i="2"/>
  <c r="Z199" i="2"/>
  <c r="Y199" i="2"/>
  <c r="U199" i="2"/>
  <c r="T199" i="2"/>
  <c r="V199" i="2" s="1"/>
  <c r="O199" i="2"/>
  <c r="AB198" i="2"/>
  <c r="AA198" i="2"/>
  <c r="Z198" i="2"/>
  <c r="Y198" i="2"/>
  <c r="U198" i="2"/>
  <c r="T198" i="2"/>
  <c r="V198" i="2" s="1"/>
  <c r="O198" i="2"/>
  <c r="AB197" i="2"/>
  <c r="AA197" i="2"/>
  <c r="Z197" i="2"/>
  <c r="Y197" i="2"/>
  <c r="U197" i="2"/>
  <c r="T197" i="2"/>
  <c r="V197" i="2" s="1"/>
  <c r="O197" i="2"/>
  <c r="AB196" i="2"/>
  <c r="AA196" i="2"/>
  <c r="Z196" i="2"/>
  <c r="Y196" i="2"/>
  <c r="U196" i="2"/>
  <c r="T196" i="2"/>
  <c r="V196" i="2" s="1"/>
  <c r="O196" i="2"/>
  <c r="AB195" i="2"/>
  <c r="AA195" i="2"/>
  <c r="Z195" i="2"/>
  <c r="Y195" i="2"/>
  <c r="U195" i="2"/>
  <c r="T195" i="2"/>
  <c r="V195" i="2" s="1"/>
  <c r="O195" i="2"/>
  <c r="AB194" i="2"/>
  <c r="AA194" i="2"/>
  <c r="Z194" i="2"/>
  <c r="Y194" i="2"/>
  <c r="U194" i="2"/>
  <c r="T194" i="2"/>
  <c r="V194" i="2" s="1"/>
  <c r="O194" i="2"/>
  <c r="AB193" i="2"/>
  <c r="AA193" i="2"/>
  <c r="Z193" i="2"/>
  <c r="Y193" i="2"/>
  <c r="U193" i="2"/>
  <c r="T193" i="2"/>
  <c r="V193" i="2" s="1"/>
  <c r="O193" i="2"/>
  <c r="AB192" i="2"/>
  <c r="AA192" i="2"/>
  <c r="Z192" i="2"/>
  <c r="Y192" i="2"/>
  <c r="U192" i="2"/>
  <c r="T192" i="2"/>
  <c r="V192" i="2" s="1"/>
  <c r="O192" i="2"/>
  <c r="AB191" i="2"/>
  <c r="AA191" i="2"/>
  <c r="Z191" i="2"/>
  <c r="Y191" i="2"/>
  <c r="U191" i="2"/>
  <c r="T191" i="2"/>
  <c r="V191" i="2" s="1"/>
  <c r="O191" i="2"/>
  <c r="AB190" i="2"/>
  <c r="AA190" i="2"/>
  <c r="Z190" i="2"/>
  <c r="Y190" i="2"/>
  <c r="U190" i="2"/>
  <c r="T190" i="2"/>
  <c r="V190" i="2" s="1"/>
  <c r="O190" i="2"/>
  <c r="AB189" i="2"/>
  <c r="AA189" i="2"/>
  <c r="Z189" i="2"/>
  <c r="Y189" i="2"/>
  <c r="U189" i="2"/>
  <c r="T189" i="2"/>
  <c r="V189" i="2" s="1"/>
  <c r="O189" i="2"/>
  <c r="AB188" i="2"/>
  <c r="AA188" i="2"/>
  <c r="Z188" i="2"/>
  <c r="Y188" i="2"/>
  <c r="U188" i="2"/>
  <c r="T188" i="2"/>
  <c r="V188" i="2" s="1"/>
  <c r="O188" i="2"/>
  <c r="AB187" i="2"/>
  <c r="AA187" i="2"/>
  <c r="Z187" i="2"/>
  <c r="Y187" i="2"/>
  <c r="U187" i="2"/>
  <c r="T187" i="2"/>
  <c r="V187" i="2" s="1"/>
  <c r="O187" i="2"/>
  <c r="AB186" i="2"/>
  <c r="AA186" i="2"/>
  <c r="Z186" i="2"/>
  <c r="Y186" i="2"/>
  <c r="U186" i="2"/>
  <c r="T186" i="2"/>
  <c r="V186" i="2" s="1"/>
  <c r="O186" i="2"/>
  <c r="AB185" i="2"/>
  <c r="AA185" i="2"/>
  <c r="Z185" i="2"/>
  <c r="Y185" i="2"/>
  <c r="U185" i="2"/>
  <c r="T185" i="2"/>
  <c r="V185" i="2" s="1"/>
  <c r="O185" i="2"/>
  <c r="AB184" i="2"/>
  <c r="AA184" i="2"/>
  <c r="Z184" i="2"/>
  <c r="Y184" i="2"/>
  <c r="U184" i="2"/>
  <c r="T184" i="2"/>
  <c r="V184" i="2" s="1"/>
  <c r="O184" i="2"/>
  <c r="AB183" i="2"/>
  <c r="AA183" i="2"/>
  <c r="Z183" i="2"/>
  <c r="Y183" i="2"/>
  <c r="U183" i="2"/>
  <c r="T183" i="2"/>
  <c r="V183" i="2" s="1"/>
  <c r="O183" i="2"/>
  <c r="AB182" i="2"/>
  <c r="AA182" i="2"/>
  <c r="Z182" i="2"/>
  <c r="Y182" i="2"/>
  <c r="U182" i="2"/>
  <c r="T182" i="2"/>
  <c r="V182" i="2" s="1"/>
  <c r="O182" i="2"/>
  <c r="AB181" i="2"/>
  <c r="AA181" i="2"/>
  <c r="Z181" i="2"/>
  <c r="Y181" i="2"/>
  <c r="U181" i="2"/>
  <c r="T181" i="2"/>
  <c r="V181" i="2" s="1"/>
  <c r="O181" i="2"/>
  <c r="AB180" i="2"/>
  <c r="AA180" i="2"/>
  <c r="Z180" i="2"/>
  <c r="Y180" i="2"/>
  <c r="U180" i="2"/>
  <c r="T180" i="2"/>
  <c r="V180" i="2" s="1"/>
  <c r="O180" i="2"/>
  <c r="AB179" i="2"/>
  <c r="AA179" i="2"/>
  <c r="Z179" i="2"/>
  <c r="Y179" i="2"/>
  <c r="U179" i="2"/>
  <c r="T179" i="2"/>
  <c r="V179" i="2" s="1"/>
  <c r="O179" i="2"/>
  <c r="AB178" i="2"/>
  <c r="AA178" i="2"/>
  <c r="Z178" i="2"/>
  <c r="Y178" i="2"/>
  <c r="U178" i="2"/>
  <c r="T178" i="2"/>
  <c r="V178" i="2" s="1"/>
  <c r="O178" i="2"/>
  <c r="AB177" i="2"/>
  <c r="AA177" i="2"/>
  <c r="Z177" i="2"/>
  <c r="Y177" i="2"/>
  <c r="U177" i="2"/>
  <c r="T177" i="2"/>
  <c r="V177" i="2" s="1"/>
  <c r="O177" i="2"/>
  <c r="AB176" i="2"/>
  <c r="AA176" i="2"/>
  <c r="Z176" i="2"/>
  <c r="Y176" i="2"/>
  <c r="U176" i="2"/>
  <c r="T176" i="2"/>
  <c r="V176" i="2" s="1"/>
  <c r="O176" i="2"/>
  <c r="AB175" i="2"/>
  <c r="AA175" i="2"/>
  <c r="Z175" i="2"/>
  <c r="Y175" i="2"/>
  <c r="U175" i="2"/>
  <c r="T175" i="2"/>
  <c r="V175" i="2" s="1"/>
  <c r="O175" i="2"/>
  <c r="AB174" i="2"/>
  <c r="AA174" i="2"/>
  <c r="Z174" i="2"/>
  <c r="Y174" i="2"/>
  <c r="U174" i="2"/>
  <c r="T174" i="2"/>
  <c r="V174" i="2" s="1"/>
  <c r="O174" i="2"/>
  <c r="AB173" i="2"/>
  <c r="AA173" i="2"/>
  <c r="Z173" i="2"/>
  <c r="Y173" i="2"/>
  <c r="U173" i="2"/>
  <c r="T173" i="2"/>
  <c r="V173" i="2" s="1"/>
  <c r="O173" i="2"/>
  <c r="AB172" i="2"/>
  <c r="AA172" i="2"/>
  <c r="Z172" i="2"/>
  <c r="Y172" i="2"/>
  <c r="U172" i="2"/>
  <c r="T172" i="2"/>
  <c r="V172" i="2" s="1"/>
  <c r="O172" i="2"/>
  <c r="AB171" i="2"/>
  <c r="AA171" i="2"/>
  <c r="Z171" i="2"/>
  <c r="Y171" i="2"/>
  <c r="U171" i="2"/>
  <c r="T171" i="2"/>
  <c r="V171" i="2" s="1"/>
  <c r="O171" i="2"/>
  <c r="AB170" i="2"/>
  <c r="AA170" i="2"/>
  <c r="Z170" i="2"/>
  <c r="Y170" i="2"/>
  <c r="U170" i="2"/>
  <c r="T170" i="2"/>
  <c r="V170" i="2" s="1"/>
  <c r="O170" i="2"/>
  <c r="AB169" i="2"/>
  <c r="AA169" i="2"/>
  <c r="Z169" i="2"/>
  <c r="Y169" i="2"/>
  <c r="U169" i="2"/>
  <c r="T169" i="2"/>
  <c r="V169" i="2" s="1"/>
  <c r="O169" i="2"/>
  <c r="AB168" i="2"/>
  <c r="AA168" i="2"/>
  <c r="Z168" i="2"/>
  <c r="Y168" i="2"/>
  <c r="U168" i="2"/>
  <c r="T168" i="2"/>
  <c r="V168" i="2" s="1"/>
  <c r="O168" i="2"/>
  <c r="AB166" i="2"/>
  <c r="AA166" i="2"/>
  <c r="Z166" i="2"/>
  <c r="Y166" i="2"/>
  <c r="U166" i="2"/>
  <c r="T166" i="2"/>
  <c r="V166" i="2" s="1"/>
  <c r="O166" i="2"/>
  <c r="AB165" i="2"/>
  <c r="AA165" i="2"/>
  <c r="Z165" i="2"/>
  <c r="Y165" i="2"/>
  <c r="U165" i="2"/>
  <c r="T165" i="2"/>
  <c r="V165" i="2" s="1"/>
  <c r="O165" i="2"/>
  <c r="AB164" i="2"/>
  <c r="AA164" i="2"/>
  <c r="Z164" i="2"/>
  <c r="Y164" i="2"/>
  <c r="U164" i="2"/>
  <c r="T164" i="2"/>
  <c r="V164" i="2" s="1"/>
  <c r="O164" i="2"/>
  <c r="AB163" i="2"/>
  <c r="AA163" i="2"/>
  <c r="Z163" i="2"/>
  <c r="Y163" i="2"/>
  <c r="U163" i="2"/>
  <c r="T163" i="2"/>
  <c r="V163" i="2" s="1"/>
  <c r="O163" i="2"/>
  <c r="AB162" i="2"/>
  <c r="AA162" i="2"/>
  <c r="Z162" i="2"/>
  <c r="Y162" i="2"/>
  <c r="U162" i="2"/>
  <c r="T162" i="2"/>
  <c r="V162" i="2" s="1"/>
  <c r="O162" i="2"/>
  <c r="AB161" i="2"/>
  <c r="AA161" i="2"/>
  <c r="Z161" i="2"/>
  <c r="Y161" i="2"/>
  <c r="U161" i="2"/>
  <c r="T161" i="2"/>
  <c r="V161" i="2" s="1"/>
  <c r="O161" i="2"/>
  <c r="AB160" i="2"/>
  <c r="AA160" i="2"/>
  <c r="Z160" i="2"/>
  <c r="Y160" i="2"/>
  <c r="U160" i="2"/>
  <c r="T160" i="2"/>
  <c r="V160" i="2" s="1"/>
  <c r="O160" i="2"/>
  <c r="AB159" i="2"/>
  <c r="AA159" i="2"/>
  <c r="Z159" i="2"/>
  <c r="Y159" i="2"/>
  <c r="U159" i="2"/>
  <c r="T159" i="2"/>
  <c r="V159" i="2" s="1"/>
  <c r="O159" i="2"/>
  <c r="AB158" i="2"/>
  <c r="AA158" i="2"/>
  <c r="Z158" i="2"/>
  <c r="Y158" i="2"/>
  <c r="U158" i="2"/>
  <c r="T158" i="2"/>
  <c r="V158" i="2" s="1"/>
  <c r="O158" i="2"/>
  <c r="AB157" i="2"/>
  <c r="AA157" i="2"/>
  <c r="Z157" i="2"/>
  <c r="Y157" i="2"/>
  <c r="U157" i="2"/>
  <c r="T157" i="2"/>
  <c r="V157" i="2" s="1"/>
  <c r="O157" i="2"/>
  <c r="AB156" i="2"/>
  <c r="AA156" i="2"/>
  <c r="Z156" i="2"/>
  <c r="Y156" i="2"/>
  <c r="U156" i="2"/>
  <c r="T156" i="2"/>
  <c r="V156" i="2" s="1"/>
  <c r="O156" i="2"/>
  <c r="AB155" i="2"/>
  <c r="AA155" i="2"/>
  <c r="Z155" i="2"/>
  <c r="Y155" i="2"/>
  <c r="U155" i="2"/>
  <c r="T155" i="2"/>
  <c r="V155" i="2" s="1"/>
  <c r="O155" i="2"/>
  <c r="AB154" i="2"/>
  <c r="AA154" i="2"/>
  <c r="Z154" i="2"/>
  <c r="Y154" i="2"/>
  <c r="U154" i="2"/>
  <c r="T154" i="2"/>
  <c r="V154" i="2" s="1"/>
  <c r="O154" i="2"/>
  <c r="AB153" i="2"/>
  <c r="AA153" i="2"/>
  <c r="Z153" i="2"/>
  <c r="Y153" i="2"/>
  <c r="U153" i="2"/>
  <c r="T153" i="2"/>
  <c r="V153" i="2" s="1"/>
  <c r="O153" i="2"/>
  <c r="AB152" i="2"/>
  <c r="AA152" i="2"/>
  <c r="Z152" i="2"/>
  <c r="Y152" i="2"/>
  <c r="U152" i="2"/>
  <c r="T152" i="2"/>
  <c r="V152" i="2" s="1"/>
  <c r="O152" i="2"/>
  <c r="AB151" i="2"/>
  <c r="AA151" i="2"/>
  <c r="Z151" i="2"/>
  <c r="Y151" i="2"/>
  <c r="U151" i="2"/>
  <c r="T151" i="2"/>
  <c r="V151" i="2" s="1"/>
  <c r="O151" i="2"/>
  <c r="AB150" i="2"/>
  <c r="AA150" i="2"/>
  <c r="Z150" i="2"/>
  <c r="Y150" i="2"/>
  <c r="U150" i="2"/>
  <c r="T150" i="2"/>
  <c r="V150" i="2" s="1"/>
  <c r="O150" i="2"/>
  <c r="AB149" i="2"/>
  <c r="AA149" i="2"/>
  <c r="Z149" i="2"/>
  <c r="Y149" i="2"/>
  <c r="U149" i="2"/>
  <c r="T149" i="2"/>
  <c r="V149" i="2" s="1"/>
  <c r="O149" i="2"/>
  <c r="AB148" i="2"/>
  <c r="AA148" i="2"/>
  <c r="Z148" i="2"/>
  <c r="Y148" i="2"/>
  <c r="U148" i="2"/>
  <c r="T148" i="2"/>
  <c r="V148" i="2" s="1"/>
  <c r="O148" i="2"/>
  <c r="AB147" i="2"/>
  <c r="AA147" i="2"/>
  <c r="Z147" i="2"/>
  <c r="Y147" i="2"/>
  <c r="U147" i="2"/>
  <c r="T147" i="2"/>
  <c r="V147" i="2" s="1"/>
  <c r="O147" i="2"/>
  <c r="AB146" i="2"/>
  <c r="AA146" i="2"/>
  <c r="Z146" i="2"/>
  <c r="Y146" i="2"/>
  <c r="U146" i="2"/>
  <c r="T146" i="2"/>
  <c r="V146" i="2" s="1"/>
  <c r="O146" i="2"/>
  <c r="AB145" i="2"/>
  <c r="AA145" i="2"/>
  <c r="Z145" i="2"/>
  <c r="Y145" i="2"/>
  <c r="U145" i="2"/>
  <c r="T145" i="2"/>
  <c r="V145" i="2" s="1"/>
  <c r="O145" i="2"/>
  <c r="AB144" i="2"/>
  <c r="AA144" i="2"/>
  <c r="Z144" i="2"/>
  <c r="Y144" i="2"/>
  <c r="U144" i="2"/>
  <c r="T144" i="2"/>
  <c r="V144" i="2" s="1"/>
  <c r="O144" i="2"/>
  <c r="AB143" i="2"/>
  <c r="AA143" i="2"/>
  <c r="Z143" i="2"/>
  <c r="Y143" i="2"/>
  <c r="U143" i="2"/>
  <c r="T143" i="2"/>
  <c r="V143" i="2" s="1"/>
  <c r="O143" i="2"/>
  <c r="AB142" i="2"/>
  <c r="AA142" i="2"/>
  <c r="Z142" i="2"/>
  <c r="Y142" i="2"/>
  <c r="U142" i="2"/>
  <c r="T142" i="2"/>
  <c r="V142" i="2" s="1"/>
  <c r="O142" i="2"/>
  <c r="AB141" i="2"/>
  <c r="AA141" i="2"/>
  <c r="Z141" i="2"/>
  <c r="Y141" i="2"/>
  <c r="U141" i="2"/>
  <c r="T141" i="2"/>
  <c r="V141" i="2" s="1"/>
  <c r="O141" i="2"/>
  <c r="AB140" i="2"/>
  <c r="AA140" i="2"/>
  <c r="Z140" i="2"/>
  <c r="Y140" i="2"/>
  <c r="U140" i="2"/>
  <c r="T140" i="2"/>
  <c r="V140" i="2" s="1"/>
  <c r="O140" i="2"/>
  <c r="AB139" i="2"/>
  <c r="AA139" i="2"/>
  <c r="Z139" i="2"/>
  <c r="Y139" i="2"/>
  <c r="U139" i="2"/>
  <c r="T139" i="2"/>
  <c r="V139" i="2" s="1"/>
  <c r="O139" i="2"/>
  <c r="AB138" i="2"/>
  <c r="AA138" i="2"/>
  <c r="Z138" i="2"/>
  <c r="Y138" i="2"/>
  <c r="U138" i="2"/>
  <c r="T138" i="2"/>
  <c r="V138" i="2" s="1"/>
  <c r="O138" i="2"/>
  <c r="AB137" i="2"/>
  <c r="AA137" i="2"/>
  <c r="Z137" i="2"/>
  <c r="Y137" i="2"/>
  <c r="U137" i="2"/>
  <c r="T137" i="2"/>
  <c r="V137" i="2" s="1"/>
  <c r="O137" i="2"/>
  <c r="AB136" i="2"/>
  <c r="AA136" i="2"/>
  <c r="Z136" i="2"/>
  <c r="Y136" i="2"/>
  <c r="U136" i="2"/>
  <c r="T136" i="2"/>
  <c r="V136" i="2" s="1"/>
  <c r="O136" i="2"/>
  <c r="AB135" i="2"/>
  <c r="AA135" i="2"/>
  <c r="Z135" i="2"/>
  <c r="Y135" i="2"/>
  <c r="U135" i="2"/>
  <c r="T135" i="2"/>
  <c r="V135" i="2" s="1"/>
  <c r="O135" i="2"/>
  <c r="AB129" i="2"/>
  <c r="AA129" i="2"/>
  <c r="Z129" i="2"/>
  <c r="Y129" i="2"/>
  <c r="U129" i="2"/>
  <c r="T129" i="2"/>
  <c r="V129" i="2" s="1"/>
  <c r="O129" i="2"/>
  <c r="AB128" i="2"/>
  <c r="AA128" i="2"/>
  <c r="Z128" i="2"/>
  <c r="Y128" i="2"/>
  <c r="U128" i="2"/>
  <c r="T128" i="2"/>
  <c r="V128" i="2" s="1"/>
  <c r="O128" i="2"/>
  <c r="AB127" i="2"/>
  <c r="AA127" i="2"/>
  <c r="Z127" i="2"/>
  <c r="Y127" i="2"/>
  <c r="U127" i="2"/>
  <c r="T127" i="2"/>
  <c r="V127" i="2" s="1"/>
  <c r="O127" i="2"/>
  <c r="AB126" i="2"/>
  <c r="AA126" i="2"/>
  <c r="Z126" i="2"/>
  <c r="Y126" i="2"/>
  <c r="U126" i="2"/>
  <c r="T126" i="2"/>
  <c r="V126" i="2" s="1"/>
  <c r="O126" i="2"/>
  <c r="AB125" i="2"/>
  <c r="AA125" i="2"/>
  <c r="Z125" i="2"/>
  <c r="Y125" i="2"/>
  <c r="U125" i="2"/>
  <c r="T125" i="2"/>
  <c r="V125" i="2" s="1"/>
  <c r="O125" i="2"/>
  <c r="AB124" i="2"/>
  <c r="AA124" i="2"/>
  <c r="Z124" i="2"/>
  <c r="Y124" i="2"/>
  <c r="U124" i="2"/>
  <c r="T124" i="2"/>
  <c r="V124" i="2" s="1"/>
  <c r="O124" i="2"/>
  <c r="AB123" i="2"/>
  <c r="AA123" i="2"/>
  <c r="Z123" i="2"/>
  <c r="Y123" i="2"/>
  <c r="U123" i="2"/>
  <c r="T123" i="2"/>
  <c r="V123" i="2" s="1"/>
  <c r="O123" i="2"/>
  <c r="AB122" i="2"/>
  <c r="AA122" i="2"/>
  <c r="Z122" i="2"/>
  <c r="Y122" i="2"/>
  <c r="U122" i="2"/>
  <c r="T122" i="2"/>
  <c r="V122" i="2" s="1"/>
  <c r="O122" i="2"/>
  <c r="AB121" i="2"/>
  <c r="AA121" i="2"/>
  <c r="Z121" i="2"/>
  <c r="Y121" i="2"/>
  <c r="U121" i="2"/>
  <c r="T121" i="2"/>
  <c r="V121" i="2" s="1"/>
  <c r="O121" i="2"/>
  <c r="AB120" i="2"/>
  <c r="AA120" i="2"/>
  <c r="Z120" i="2"/>
  <c r="Y120" i="2"/>
  <c r="U120" i="2"/>
  <c r="T120" i="2"/>
  <c r="V120" i="2" s="1"/>
  <c r="O120" i="2"/>
  <c r="AB119" i="2"/>
  <c r="AA119" i="2"/>
  <c r="Z119" i="2"/>
  <c r="Y119" i="2"/>
  <c r="U119" i="2"/>
  <c r="T119" i="2"/>
  <c r="V119" i="2" s="1"/>
  <c r="O119" i="2"/>
  <c r="AB118" i="2"/>
  <c r="AA118" i="2"/>
  <c r="Z118" i="2"/>
  <c r="Y118" i="2"/>
  <c r="U118" i="2"/>
  <c r="T118" i="2"/>
  <c r="V118" i="2" s="1"/>
  <c r="O118" i="2"/>
  <c r="AB117" i="2"/>
  <c r="AA117" i="2"/>
  <c r="Z117" i="2"/>
  <c r="Y117" i="2"/>
  <c r="U117" i="2"/>
  <c r="T117" i="2"/>
  <c r="V117" i="2" s="1"/>
  <c r="O117" i="2"/>
  <c r="AB116" i="2"/>
  <c r="AA116" i="2"/>
  <c r="Z116" i="2"/>
  <c r="Y116" i="2"/>
  <c r="U116" i="2"/>
  <c r="T116" i="2"/>
  <c r="V116" i="2" s="1"/>
  <c r="O116" i="2"/>
  <c r="AB115" i="2"/>
  <c r="AA115" i="2"/>
  <c r="Z115" i="2"/>
  <c r="Y115" i="2"/>
  <c r="U115" i="2"/>
  <c r="T115" i="2"/>
  <c r="V115" i="2" s="1"/>
  <c r="O115" i="2"/>
  <c r="AB114" i="2"/>
  <c r="AA114" i="2"/>
  <c r="Z114" i="2"/>
  <c r="Y114" i="2"/>
  <c r="U114" i="2"/>
  <c r="T114" i="2"/>
  <c r="V114" i="2" s="1"/>
  <c r="O114" i="2"/>
  <c r="AB113" i="2"/>
  <c r="AA113" i="2"/>
  <c r="Z113" i="2"/>
  <c r="Y113" i="2"/>
  <c r="U113" i="2"/>
  <c r="T113" i="2"/>
  <c r="V113" i="2" s="1"/>
  <c r="O113" i="2"/>
  <c r="AB112" i="2"/>
  <c r="AA112" i="2"/>
  <c r="Z112" i="2"/>
  <c r="Y112" i="2"/>
  <c r="U112" i="2"/>
  <c r="T112" i="2"/>
  <c r="V112" i="2" s="1"/>
  <c r="O112" i="2"/>
  <c r="AB111" i="2"/>
  <c r="AA111" i="2"/>
  <c r="Z111" i="2"/>
  <c r="Y111" i="2"/>
  <c r="U111" i="2"/>
  <c r="T111" i="2"/>
  <c r="V111" i="2" s="1"/>
  <c r="O111" i="2"/>
  <c r="AB110" i="2"/>
  <c r="AA110" i="2"/>
  <c r="Z110" i="2"/>
  <c r="Y110" i="2"/>
  <c r="U110" i="2"/>
  <c r="T110" i="2"/>
  <c r="V110" i="2" s="1"/>
  <c r="O110" i="2"/>
  <c r="AB109" i="2"/>
  <c r="AA109" i="2"/>
  <c r="Z109" i="2"/>
  <c r="Y109" i="2"/>
  <c r="U109" i="2"/>
  <c r="T109" i="2"/>
  <c r="V109" i="2" s="1"/>
  <c r="O109" i="2"/>
  <c r="AB108" i="2"/>
  <c r="AA108" i="2"/>
  <c r="Z108" i="2"/>
  <c r="Y108" i="2"/>
  <c r="U108" i="2"/>
  <c r="T108" i="2"/>
  <c r="V108" i="2" s="1"/>
  <c r="O108" i="2"/>
  <c r="AB107" i="2"/>
  <c r="AA107" i="2"/>
  <c r="Z107" i="2"/>
  <c r="Y107" i="2"/>
  <c r="U107" i="2"/>
  <c r="T107" i="2"/>
  <c r="V107" i="2" s="1"/>
  <c r="O107" i="2"/>
  <c r="AB106" i="2"/>
  <c r="AA106" i="2"/>
  <c r="Z106" i="2"/>
  <c r="Y106" i="2"/>
  <c r="U106" i="2"/>
  <c r="T106" i="2"/>
  <c r="V106" i="2" s="1"/>
  <c r="O106" i="2"/>
  <c r="AB105" i="2"/>
  <c r="AA105" i="2"/>
  <c r="Z105" i="2"/>
  <c r="Y105" i="2"/>
  <c r="U105" i="2"/>
  <c r="T105" i="2"/>
  <c r="V105" i="2" s="1"/>
  <c r="O105" i="2"/>
  <c r="AB104" i="2"/>
  <c r="AA104" i="2"/>
  <c r="Z104" i="2"/>
  <c r="Y104" i="2"/>
  <c r="U104" i="2"/>
  <c r="T104" i="2"/>
  <c r="V104" i="2" s="1"/>
  <c r="O104" i="2"/>
  <c r="AB103" i="2"/>
  <c r="AA103" i="2"/>
  <c r="Z103" i="2"/>
  <c r="Y103" i="2"/>
  <c r="U103" i="2"/>
  <c r="T103" i="2"/>
  <c r="V103" i="2" s="1"/>
  <c r="O103" i="2"/>
  <c r="AB102" i="2"/>
  <c r="AA102" i="2"/>
  <c r="Z102" i="2"/>
  <c r="Y102" i="2"/>
  <c r="U102" i="2"/>
  <c r="T102" i="2"/>
  <c r="V102" i="2" s="1"/>
  <c r="O102" i="2"/>
  <c r="AB101" i="2"/>
  <c r="AA101" i="2"/>
  <c r="Z101" i="2"/>
  <c r="Y101" i="2"/>
  <c r="U101" i="2"/>
  <c r="T101" i="2"/>
  <c r="V101" i="2" s="1"/>
  <c r="O101" i="2"/>
  <c r="AB100" i="2"/>
  <c r="AA100" i="2"/>
  <c r="Z100" i="2"/>
  <c r="Y100" i="2"/>
  <c r="U100" i="2"/>
  <c r="T100" i="2"/>
  <c r="V100" i="2" s="1"/>
  <c r="O100" i="2"/>
  <c r="AB99" i="2"/>
  <c r="AA99" i="2"/>
  <c r="Z99" i="2"/>
  <c r="Y99" i="2"/>
  <c r="U99" i="2"/>
  <c r="T99" i="2"/>
  <c r="V99" i="2" s="1"/>
  <c r="O99" i="2"/>
  <c r="AB98" i="2"/>
  <c r="AA98" i="2"/>
  <c r="Z98" i="2"/>
  <c r="Y98" i="2"/>
  <c r="U98" i="2"/>
  <c r="T98" i="2"/>
  <c r="V98" i="2" s="1"/>
  <c r="O98" i="2"/>
  <c r="AB97" i="2"/>
  <c r="AA97" i="2"/>
  <c r="Z97" i="2"/>
  <c r="Y97" i="2"/>
  <c r="U97" i="2"/>
  <c r="T97" i="2"/>
  <c r="V97" i="2" s="1"/>
  <c r="O97" i="2"/>
  <c r="AB96" i="2"/>
  <c r="AA96" i="2"/>
  <c r="Z96" i="2"/>
  <c r="Y96" i="2"/>
  <c r="U96" i="2"/>
  <c r="T96" i="2"/>
  <c r="V96" i="2" s="1"/>
  <c r="O96" i="2"/>
  <c r="AB95" i="2"/>
  <c r="AA95" i="2"/>
  <c r="Z95" i="2"/>
  <c r="Y95" i="2"/>
  <c r="U95" i="2"/>
  <c r="T95" i="2"/>
  <c r="V95" i="2" s="1"/>
  <c r="O95" i="2"/>
  <c r="AB94" i="2"/>
  <c r="AA94" i="2"/>
  <c r="Z94" i="2"/>
  <c r="Y94" i="2"/>
  <c r="U94" i="2"/>
  <c r="T94" i="2"/>
  <c r="V94" i="2" s="1"/>
  <c r="O94" i="2"/>
  <c r="AB93" i="2"/>
  <c r="AA93" i="2"/>
  <c r="Z93" i="2"/>
  <c r="Y93" i="2"/>
  <c r="U93" i="2"/>
  <c r="T93" i="2"/>
  <c r="V93" i="2" s="1"/>
  <c r="O93" i="2"/>
  <c r="AB92" i="2"/>
  <c r="AA92" i="2"/>
  <c r="Z92" i="2"/>
  <c r="Y92" i="2"/>
  <c r="U92" i="2"/>
  <c r="T92" i="2"/>
  <c r="V92" i="2" s="1"/>
  <c r="O92" i="2"/>
  <c r="AB91" i="2"/>
  <c r="AA91" i="2"/>
  <c r="Z91" i="2"/>
  <c r="Y91" i="2"/>
  <c r="U91" i="2"/>
  <c r="T91" i="2"/>
  <c r="V91" i="2" s="1"/>
  <c r="O91" i="2"/>
  <c r="AB90" i="2"/>
  <c r="AA90" i="2"/>
  <c r="Z90" i="2"/>
  <c r="Y90" i="2"/>
  <c r="U90" i="2"/>
  <c r="T90" i="2"/>
  <c r="V90" i="2" s="1"/>
  <c r="O90" i="2"/>
  <c r="AB89" i="2"/>
  <c r="AA89" i="2"/>
  <c r="Z89" i="2"/>
  <c r="Y89" i="2"/>
  <c r="U89" i="2"/>
  <c r="T89" i="2"/>
  <c r="V89" i="2" s="1"/>
  <c r="O89" i="2"/>
  <c r="AB88" i="2"/>
  <c r="AA88" i="2"/>
  <c r="Z88" i="2"/>
  <c r="Y88" i="2"/>
  <c r="U88" i="2"/>
  <c r="T88" i="2"/>
  <c r="V88" i="2" s="1"/>
  <c r="O88" i="2"/>
  <c r="AB87" i="2"/>
  <c r="AA87" i="2"/>
  <c r="Z87" i="2"/>
  <c r="Y87" i="2"/>
  <c r="U87" i="2"/>
  <c r="T87" i="2"/>
  <c r="V87" i="2" s="1"/>
  <c r="O87" i="2"/>
  <c r="AB86" i="2"/>
  <c r="AA86" i="2"/>
  <c r="Z86" i="2"/>
  <c r="Y86" i="2"/>
  <c r="U86" i="2"/>
  <c r="T86" i="2"/>
  <c r="V86" i="2" s="1"/>
  <c r="O86" i="2"/>
  <c r="AB85" i="2"/>
  <c r="AA85" i="2"/>
  <c r="Z85" i="2"/>
  <c r="Y85" i="2"/>
  <c r="U85" i="2"/>
  <c r="T85" i="2"/>
  <c r="V85" i="2" s="1"/>
  <c r="O85" i="2"/>
  <c r="AB84" i="2"/>
  <c r="AA84" i="2"/>
  <c r="Z84" i="2"/>
  <c r="Y84" i="2"/>
  <c r="U84" i="2"/>
  <c r="T84" i="2"/>
  <c r="V84" i="2" s="1"/>
  <c r="O84" i="2"/>
  <c r="AB83" i="2"/>
  <c r="AA83" i="2"/>
  <c r="Z83" i="2"/>
  <c r="Y83" i="2"/>
  <c r="U83" i="2"/>
  <c r="T83" i="2"/>
  <c r="V83" i="2" s="1"/>
  <c r="O83" i="2"/>
  <c r="AB82" i="2"/>
  <c r="AA82" i="2"/>
  <c r="Z82" i="2"/>
  <c r="Y82" i="2"/>
  <c r="U82" i="2"/>
  <c r="T82" i="2"/>
  <c r="V82" i="2" s="1"/>
  <c r="O82" i="2"/>
  <c r="AB81" i="2"/>
  <c r="AA81" i="2"/>
  <c r="Z81" i="2"/>
  <c r="Y81" i="2"/>
  <c r="U81" i="2"/>
  <c r="T81" i="2"/>
  <c r="V81" i="2" s="1"/>
  <c r="O81" i="2"/>
  <c r="AB80" i="2"/>
  <c r="AA80" i="2"/>
  <c r="Z80" i="2"/>
  <c r="Y80" i="2"/>
  <c r="U80" i="2"/>
  <c r="T80" i="2"/>
  <c r="V80" i="2" s="1"/>
  <c r="O80" i="2"/>
  <c r="AB79" i="2"/>
  <c r="AA79" i="2"/>
  <c r="Z79" i="2"/>
  <c r="Y79" i="2"/>
  <c r="U79" i="2"/>
  <c r="T79" i="2"/>
  <c r="V79" i="2" s="1"/>
  <c r="O79" i="2"/>
  <c r="AB78" i="2"/>
  <c r="AA78" i="2"/>
  <c r="Z78" i="2"/>
  <c r="Y78" i="2"/>
  <c r="U78" i="2"/>
  <c r="T78" i="2"/>
  <c r="V78" i="2" s="1"/>
  <c r="O78" i="2"/>
  <c r="AB77" i="2"/>
  <c r="AA77" i="2"/>
  <c r="Z77" i="2"/>
  <c r="Y77" i="2"/>
  <c r="U77" i="2"/>
  <c r="T77" i="2"/>
  <c r="V77" i="2" s="1"/>
  <c r="O77" i="2"/>
  <c r="AB76" i="2"/>
  <c r="AA76" i="2"/>
  <c r="Z76" i="2"/>
  <c r="Y76" i="2"/>
  <c r="U76" i="2"/>
  <c r="T76" i="2"/>
  <c r="V76" i="2" s="1"/>
  <c r="O76" i="2"/>
  <c r="AB75" i="2"/>
  <c r="AA75" i="2"/>
  <c r="Z75" i="2"/>
  <c r="Y75" i="2"/>
  <c r="U75" i="2"/>
  <c r="T75" i="2"/>
  <c r="V75" i="2" s="1"/>
  <c r="O75" i="2"/>
  <c r="AB74" i="2"/>
  <c r="AA74" i="2"/>
  <c r="Z74" i="2"/>
  <c r="Y74" i="2"/>
  <c r="U74" i="2"/>
  <c r="T74" i="2"/>
  <c r="V74" i="2" s="1"/>
  <c r="O74" i="2"/>
  <c r="AB73" i="2"/>
  <c r="AA73" i="2"/>
  <c r="Z73" i="2"/>
  <c r="Y73" i="2"/>
  <c r="U73" i="2"/>
  <c r="T73" i="2"/>
  <c r="V73" i="2" s="1"/>
  <c r="O73" i="2"/>
  <c r="AB72" i="2"/>
  <c r="AA72" i="2"/>
  <c r="Z72" i="2"/>
  <c r="Y72" i="2"/>
  <c r="U72" i="2"/>
  <c r="T72" i="2"/>
  <c r="V72" i="2" s="1"/>
  <c r="O72" i="2"/>
  <c r="AB71" i="2"/>
  <c r="AA71" i="2"/>
  <c r="Z71" i="2"/>
  <c r="Y71" i="2"/>
  <c r="U71" i="2"/>
  <c r="T71" i="2"/>
  <c r="V71" i="2" s="1"/>
  <c r="O71" i="2"/>
  <c r="AB70" i="2"/>
  <c r="AA70" i="2"/>
  <c r="Z70" i="2"/>
  <c r="Y70" i="2"/>
  <c r="U70" i="2"/>
  <c r="T70" i="2"/>
  <c r="V70" i="2" s="1"/>
  <c r="O70" i="2"/>
  <c r="AB69" i="2"/>
  <c r="AA69" i="2"/>
  <c r="Z69" i="2"/>
  <c r="Y69" i="2"/>
  <c r="U69" i="2"/>
  <c r="T69" i="2"/>
  <c r="V69" i="2" s="1"/>
  <c r="O69" i="2"/>
  <c r="AB68" i="2"/>
  <c r="AA68" i="2"/>
  <c r="Z68" i="2"/>
  <c r="Y68" i="2"/>
  <c r="U68" i="2"/>
  <c r="T68" i="2"/>
  <c r="V68" i="2" s="1"/>
  <c r="O68" i="2"/>
  <c r="AB67" i="2"/>
  <c r="AA67" i="2"/>
  <c r="Z67" i="2"/>
  <c r="Y67" i="2"/>
  <c r="U67" i="2"/>
  <c r="T67" i="2"/>
  <c r="V67" i="2" s="1"/>
  <c r="O67" i="2"/>
  <c r="AB66" i="2"/>
  <c r="AA66" i="2"/>
  <c r="Z66" i="2"/>
  <c r="Y66" i="2"/>
  <c r="U66" i="2"/>
  <c r="T66" i="2"/>
  <c r="V66" i="2" s="1"/>
  <c r="O66" i="2"/>
  <c r="AB65" i="2"/>
  <c r="AA65" i="2"/>
  <c r="Z65" i="2"/>
  <c r="Y65" i="2"/>
  <c r="U65" i="2"/>
  <c r="T65" i="2"/>
  <c r="V65" i="2" s="1"/>
  <c r="O65" i="2"/>
  <c r="AB64" i="2"/>
  <c r="AA64" i="2"/>
  <c r="Z64" i="2"/>
  <c r="Y64" i="2"/>
  <c r="U64" i="2"/>
  <c r="T64" i="2"/>
  <c r="V64" i="2" s="1"/>
  <c r="O64" i="2"/>
  <c r="AB63" i="2"/>
  <c r="AA63" i="2"/>
  <c r="Z63" i="2"/>
  <c r="Y63" i="2"/>
  <c r="U63" i="2"/>
  <c r="T63" i="2"/>
  <c r="V63" i="2" s="1"/>
  <c r="O63" i="2"/>
  <c r="AB62" i="2"/>
  <c r="AA62" i="2"/>
  <c r="Z62" i="2"/>
  <c r="Y62" i="2"/>
  <c r="U62" i="2"/>
  <c r="T62" i="2"/>
  <c r="V62" i="2" s="1"/>
  <c r="O62" i="2"/>
  <c r="AB61" i="2"/>
  <c r="AA61" i="2"/>
  <c r="Z61" i="2"/>
  <c r="Y61" i="2"/>
  <c r="U61" i="2"/>
  <c r="T61" i="2"/>
  <c r="V61" i="2" s="1"/>
  <c r="O61" i="2"/>
  <c r="AB60" i="2"/>
  <c r="AA60" i="2"/>
  <c r="Z60" i="2"/>
  <c r="Y60" i="2"/>
  <c r="U60" i="2"/>
  <c r="T60" i="2"/>
  <c r="V60" i="2" s="1"/>
  <c r="O60" i="2"/>
  <c r="AB59" i="2"/>
  <c r="AA59" i="2"/>
  <c r="Z59" i="2"/>
  <c r="Y59" i="2"/>
  <c r="U59" i="2"/>
  <c r="T59" i="2"/>
  <c r="V59" i="2" s="1"/>
  <c r="O59" i="2"/>
  <c r="AB58" i="2"/>
  <c r="AA58" i="2"/>
  <c r="Z58" i="2"/>
  <c r="Y58" i="2"/>
  <c r="U58" i="2"/>
  <c r="T58" i="2"/>
  <c r="V58" i="2" s="1"/>
  <c r="O58" i="2"/>
  <c r="AB57" i="2"/>
  <c r="AA57" i="2"/>
  <c r="Z57" i="2"/>
  <c r="Y57" i="2"/>
  <c r="U57" i="2"/>
  <c r="T57" i="2"/>
  <c r="V57" i="2" s="1"/>
  <c r="O57" i="2"/>
  <c r="AB56" i="2"/>
  <c r="AA56" i="2"/>
  <c r="Z56" i="2"/>
  <c r="Y56" i="2"/>
  <c r="U56" i="2"/>
  <c r="T56" i="2"/>
  <c r="V56" i="2" s="1"/>
  <c r="O56" i="2"/>
  <c r="AB55" i="2"/>
  <c r="AA55" i="2"/>
  <c r="Z55" i="2"/>
  <c r="Y55" i="2"/>
  <c r="U55" i="2"/>
  <c r="T55" i="2"/>
  <c r="V55" i="2" s="1"/>
  <c r="O55" i="2"/>
  <c r="AB54" i="2"/>
  <c r="AA54" i="2"/>
  <c r="Z54" i="2"/>
  <c r="Y54" i="2"/>
  <c r="U54" i="2"/>
  <c r="T54" i="2"/>
  <c r="V54" i="2" s="1"/>
  <c r="O54" i="2"/>
  <c r="AB53" i="2"/>
  <c r="AA53" i="2"/>
  <c r="Z53" i="2"/>
  <c r="Y53" i="2"/>
  <c r="U53" i="2"/>
  <c r="T53" i="2"/>
  <c r="V53" i="2" s="1"/>
  <c r="O53" i="2"/>
  <c r="AB52" i="2"/>
  <c r="AA52" i="2"/>
  <c r="Z52" i="2"/>
  <c r="Y52" i="2"/>
  <c r="U52" i="2"/>
  <c r="T52" i="2"/>
  <c r="V52" i="2" s="1"/>
  <c r="O52" i="2"/>
  <c r="AB51" i="2"/>
  <c r="AA51" i="2"/>
  <c r="Z51" i="2"/>
  <c r="Y51" i="2"/>
  <c r="U51" i="2"/>
  <c r="T51" i="2"/>
  <c r="V51" i="2" s="1"/>
  <c r="O51" i="2"/>
  <c r="AB50" i="2"/>
  <c r="AA50" i="2"/>
  <c r="Z50" i="2"/>
  <c r="Y50" i="2"/>
  <c r="U50" i="2"/>
  <c r="T50" i="2"/>
  <c r="V50" i="2" s="1"/>
  <c r="O50" i="2"/>
  <c r="AB49" i="2"/>
  <c r="AA49" i="2"/>
  <c r="Z49" i="2"/>
  <c r="Y49" i="2"/>
  <c r="U49" i="2"/>
  <c r="T49" i="2"/>
  <c r="V49" i="2" s="1"/>
  <c r="O49" i="2"/>
  <c r="AB48" i="2"/>
  <c r="AA48" i="2"/>
  <c r="Z48" i="2"/>
  <c r="Y48" i="2"/>
  <c r="U48" i="2"/>
  <c r="T48" i="2"/>
  <c r="V48" i="2" s="1"/>
  <c r="O48" i="2"/>
  <c r="AB47" i="2"/>
  <c r="AA47" i="2"/>
  <c r="Z47" i="2"/>
  <c r="Y47" i="2"/>
  <c r="U47" i="2"/>
  <c r="T47" i="2"/>
  <c r="V47" i="2" s="1"/>
  <c r="O47" i="2"/>
  <c r="AB46" i="2"/>
  <c r="AA46" i="2"/>
  <c r="Z46" i="2"/>
  <c r="Y46" i="2"/>
  <c r="U46" i="2"/>
  <c r="T46" i="2"/>
  <c r="V46" i="2" s="1"/>
  <c r="O46" i="2"/>
  <c r="AB45" i="2"/>
  <c r="AA45" i="2"/>
  <c r="Z45" i="2"/>
  <c r="Y45" i="2"/>
  <c r="U45" i="2"/>
  <c r="T45" i="2"/>
  <c r="V45" i="2" s="1"/>
  <c r="O45" i="2"/>
  <c r="AB44" i="2"/>
  <c r="AA44" i="2"/>
  <c r="Z44" i="2"/>
  <c r="Y44" i="2"/>
  <c r="U44" i="2"/>
  <c r="T44" i="2"/>
  <c r="V44" i="2" s="1"/>
  <c r="O44" i="2"/>
  <c r="AB43" i="2"/>
  <c r="AA43" i="2"/>
  <c r="Z43" i="2"/>
  <c r="Y43" i="2"/>
  <c r="U43" i="2"/>
  <c r="T43" i="2"/>
  <c r="V43" i="2" s="1"/>
  <c r="O43" i="2"/>
  <c r="AB42" i="2"/>
  <c r="AA42" i="2"/>
  <c r="Z42" i="2"/>
  <c r="Y42" i="2"/>
  <c r="U42" i="2"/>
  <c r="T42" i="2"/>
  <c r="V42" i="2" s="1"/>
  <c r="O42" i="2"/>
  <c r="AB41" i="2"/>
  <c r="AA41" i="2"/>
  <c r="Z41" i="2"/>
  <c r="Y41" i="2"/>
  <c r="U41" i="2"/>
  <c r="T41" i="2"/>
  <c r="V41" i="2" s="1"/>
  <c r="O41" i="2"/>
  <c r="AB40" i="2"/>
  <c r="AA40" i="2"/>
  <c r="Z40" i="2"/>
  <c r="Y40" i="2"/>
  <c r="U40" i="2"/>
  <c r="T40" i="2"/>
  <c r="V40" i="2" s="1"/>
  <c r="O40" i="2"/>
  <c r="AB39" i="2"/>
  <c r="AA39" i="2"/>
  <c r="Z39" i="2"/>
  <c r="Y39" i="2"/>
  <c r="U39" i="2"/>
  <c r="T39" i="2"/>
  <c r="V39" i="2" s="1"/>
  <c r="O39" i="2"/>
  <c r="AB38" i="2"/>
  <c r="AA38" i="2"/>
  <c r="Z38" i="2"/>
  <c r="Y38" i="2"/>
  <c r="U38" i="2"/>
  <c r="T38" i="2"/>
  <c r="V38" i="2" s="1"/>
  <c r="O38" i="2"/>
  <c r="AB37" i="2"/>
  <c r="AA37" i="2"/>
  <c r="Z37" i="2"/>
  <c r="Y37" i="2"/>
  <c r="U37" i="2"/>
  <c r="T37" i="2"/>
  <c r="V37" i="2" s="1"/>
  <c r="O37" i="2"/>
  <c r="AB36" i="2"/>
  <c r="AA36" i="2"/>
  <c r="Z36" i="2"/>
  <c r="Y36" i="2"/>
  <c r="U36" i="2"/>
  <c r="T36" i="2"/>
  <c r="V36" i="2" s="1"/>
  <c r="O36" i="2"/>
  <c r="AB35" i="2"/>
  <c r="AA35" i="2"/>
  <c r="Z35" i="2"/>
  <c r="Y35" i="2"/>
  <c r="U35" i="2"/>
  <c r="T35" i="2"/>
  <c r="V35" i="2" s="1"/>
  <c r="O35" i="2"/>
  <c r="AB34" i="2"/>
  <c r="AA34" i="2"/>
  <c r="Z34" i="2"/>
  <c r="Y34" i="2"/>
  <c r="U34" i="2"/>
  <c r="T34" i="2"/>
  <c r="V34" i="2" s="1"/>
  <c r="O34" i="2"/>
  <c r="AB33" i="2"/>
  <c r="AA33" i="2"/>
  <c r="Z33" i="2"/>
  <c r="Y33" i="2"/>
  <c r="U33" i="2"/>
  <c r="T33" i="2"/>
  <c r="V33" i="2" s="1"/>
  <c r="O33" i="2"/>
  <c r="AB32" i="2"/>
  <c r="AA32" i="2"/>
  <c r="Z32" i="2"/>
  <c r="Y32" i="2"/>
  <c r="U32" i="2"/>
  <c r="T32" i="2"/>
  <c r="V32" i="2" s="1"/>
  <c r="O32" i="2"/>
  <c r="AB31" i="2"/>
  <c r="AA31" i="2"/>
  <c r="Z31" i="2"/>
  <c r="Y31" i="2"/>
  <c r="U31" i="2"/>
  <c r="T31" i="2"/>
  <c r="V31" i="2" s="1"/>
  <c r="O31" i="2"/>
  <c r="AB30" i="2"/>
  <c r="AA30" i="2"/>
  <c r="Z30" i="2"/>
  <c r="Y30" i="2"/>
  <c r="U30" i="2"/>
  <c r="T30" i="2"/>
  <c r="V30" i="2" s="1"/>
  <c r="O30" i="2"/>
  <c r="AB29" i="2"/>
  <c r="AA29" i="2"/>
  <c r="Z29" i="2"/>
  <c r="Y29" i="2"/>
  <c r="U29" i="2"/>
  <c r="T29" i="2"/>
  <c r="V29" i="2" s="1"/>
  <c r="O29" i="2"/>
  <c r="AB28" i="2"/>
  <c r="AA28" i="2"/>
  <c r="Z28" i="2"/>
  <c r="Y28" i="2"/>
  <c r="U28" i="2"/>
  <c r="T28" i="2"/>
  <c r="V28" i="2" s="1"/>
  <c r="O28" i="2"/>
  <c r="AB27" i="2"/>
  <c r="AA27" i="2"/>
  <c r="Z27" i="2"/>
  <c r="Y27" i="2"/>
  <c r="U27" i="2"/>
  <c r="T27" i="2"/>
  <c r="V27" i="2" s="1"/>
  <c r="O27" i="2"/>
  <c r="AB26" i="2"/>
  <c r="AA26" i="2"/>
  <c r="Z26" i="2"/>
  <c r="Y26" i="2"/>
  <c r="U26" i="2"/>
  <c r="T26" i="2"/>
  <c r="V26" i="2" s="1"/>
  <c r="O26" i="2"/>
  <c r="AB25" i="2"/>
  <c r="AA25" i="2"/>
  <c r="Z25" i="2"/>
  <c r="Y25" i="2"/>
  <c r="U25" i="2"/>
  <c r="T25" i="2"/>
  <c r="V25" i="2" s="1"/>
  <c r="O25" i="2"/>
  <c r="AB24" i="2"/>
  <c r="AA24" i="2"/>
  <c r="Z24" i="2"/>
  <c r="Y24" i="2"/>
  <c r="U24" i="2"/>
  <c r="T24" i="2"/>
  <c r="V24" i="2" s="1"/>
  <c r="O24" i="2"/>
  <c r="AB23" i="2"/>
  <c r="AA23" i="2"/>
  <c r="Z23" i="2"/>
  <c r="Y23" i="2"/>
  <c r="U23" i="2"/>
  <c r="T23" i="2"/>
  <c r="V23" i="2" s="1"/>
  <c r="O23" i="2"/>
  <c r="AB22" i="2"/>
  <c r="AA22" i="2"/>
  <c r="Z22" i="2"/>
  <c r="Y22" i="2"/>
  <c r="U22" i="2"/>
  <c r="T22" i="2"/>
  <c r="V22" i="2" s="1"/>
  <c r="O22" i="2"/>
  <c r="AB21" i="2"/>
  <c r="AA21" i="2"/>
  <c r="Z21" i="2"/>
  <c r="Y21" i="2"/>
  <c r="U21" i="2"/>
  <c r="T21" i="2"/>
  <c r="V21" i="2" s="1"/>
  <c r="O21" i="2"/>
  <c r="AB20" i="2"/>
  <c r="AA20" i="2"/>
  <c r="Z20" i="2"/>
  <c r="Y20" i="2"/>
  <c r="U20" i="2"/>
  <c r="T20" i="2"/>
  <c r="V20" i="2" s="1"/>
  <c r="O20" i="2"/>
  <c r="AB19" i="2"/>
  <c r="AA19" i="2"/>
  <c r="Z19" i="2"/>
  <c r="Y19" i="2"/>
  <c r="V19" i="2"/>
  <c r="U19" i="2"/>
  <c r="T19" i="2"/>
  <c r="O19" i="2"/>
  <c r="AB18" i="2"/>
  <c r="AA18" i="2"/>
  <c r="Z18" i="2"/>
  <c r="Y18" i="2"/>
  <c r="V18" i="2"/>
  <c r="U18" i="2"/>
  <c r="T18" i="2"/>
  <c r="O18" i="2"/>
  <c r="AB17" i="2"/>
  <c r="AA17" i="2"/>
  <c r="Z17" i="2"/>
  <c r="Y17" i="2"/>
  <c r="V17" i="2"/>
  <c r="U17" i="2"/>
  <c r="T17" i="2"/>
  <c r="O17" i="2"/>
  <c r="AB16" i="2"/>
  <c r="AA16" i="2"/>
  <c r="Z16" i="2"/>
  <c r="Y16" i="2"/>
  <c r="V16" i="2"/>
  <c r="U16" i="2"/>
  <c r="T16" i="2"/>
  <c r="O16" i="2"/>
  <c r="AB15" i="2"/>
  <c r="AA15" i="2"/>
  <c r="Z15" i="2"/>
  <c r="Y15" i="2"/>
  <c r="V15" i="2"/>
  <c r="U15" i="2"/>
  <c r="T15" i="2"/>
  <c r="O15" i="2"/>
  <c r="AB14" i="2"/>
  <c r="AA14" i="2"/>
  <c r="Z14" i="2"/>
  <c r="Y14" i="2"/>
  <c r="V14" i="2"/>
  <c r="U14" i="2"/>
  <c r="T14" i="2"/>
  <c r="O14" i="2"/>
  <c r="AB13" i="2"/>
  <c r="AA13" i="2"/>
  <c r="Z13" i="2"/>
  <c r="Y13" i="2"/>
  <c r="V13" i="2"/>
  <c r="U13" i="2"/>
  <c r="T13" i="2"/>
  <c r="O13" i="2"/>
  <c r="AB12" i="2"/>
  <c r="AA12" i="2"/>
  <c r="Z12" i="2"/>
  <c r="Y12" i="2"/>
  <c r="V12" i="2"/>
  <c r="U12" i="2"/>
  <c r="T12" i="2"/>
  <c r="O12" i="2"/>
  <c r="AB11" i="2"/>
  <c r="AA11" i="2"/>
  <c r="Z11" i="2"/>
  <c r="Y11" i="2"/>
  <c r="V11" i="2"/>
  <c r="U11" i="2"/>
  <c r="T11" i="2"/>
  <c r="O11" i="2"/>
  <c r="AB10" i="2"/>
  <c r="AA10" i="2"/>
  <c r="Z10" i="2"/>
  <c r="Y10" i="2"/>
  <c r="V10" i="2"/>
  <c r="U10" i="2"/>
  <c r="T10" i="2"/>
  <c r="O10" i="2"/>
  <c r="AB9" i="2"/>
  <c r="AA9" i="2"/>
  <c r="Z9" i="2"/>
  <c r="Y9" i="2"/>
  <c r="V9" i="2"/>
  <c r="U9" i="2"/>
  <c r="T9" i="2"/>
  <c r="O9" i="2"/>
  <c r="AB8" i="2"/>
  <c r="AA8" i="2"/>
  <c r="Z8" i="2"/>
  <c r="Y8" i="2"/>
  <c r="U8" i="2"/>
  <c r="T8" i="2"/>
  <c r="O8" i="2"/>
  <c r="AB7" i="2"/>
  <c r="AA7" i="2"/>
  <c r="Z7" i="2"/>
  <c r="Y7" i="2"/>
  <c r="U7" i="2"/>
  <c r="T7" i="2"/>
  <c r="O7" i="2"/>
  <c r="AB6" i="2"/>
  <c r="AA6" i="2"/>
  <c r="Z6" i="2"/>
  <c r="Y6" i="2"/>
  <c r="U6" i="2"/>
  <c r="T6" i="2"/>
  <c r="O6" i="2"/>
  <c r="AB5" i="2"/>
  <c r="AA5" i="2"/>
  <c r="Z5" i="2"/>
  <c r="Y5" i="2"/>
  <c r="U5" i="2"/>
  <c r="T5" i="2"/>
  <c r="O5" i="2"/>
  <c r="AB4" i="2"/>
  <c r="AA4" i="2"/>
  <c r="Z4" i="2"/>
  <c r="Y4" i="2"/>
  <c r="U4" i="2"/>
  <c r="T4" i="2"/>
  <c r="O4" i="2"/>
  <c r="AB3" i="2"/>
  <c r="AA3" i="2"/>
  <c r="Z3" i="2"/>
  <c r="Y3" i="2"/>
  <c r="U3" i="2"/>
  <c r="T3" i="2"/>
  <c r="O3" i="2"/>
  <c r="AB2" i="2"/>
  <c r="AA2" i="2"/>
  <c r="Z2" i="2"/>
  <c r="Y2" i="2"/>
  <c r="U2" i="2"/>
  <c r="T2" i="2"/>
  <c r="V2" i="2" s="1"/>
  <c r="O2" i="2"/>
  <c r="L323" i="2" l="1"/>
</calcChain>
</file>

<file path=xl/sharedStrings.xml><?xml version="1.0" encoding="utf-8"?>
<sst xmlns="http://schemas.openxmlformats.org/spreadsheetml/2006/main" count="1790" uniqueCount="876">
  <si>
    <t>IG</t>
  </si>
  <si>
    <t>BS</t>
  </si>
  <si>
    <t>PÄ</t>
  </si>
  <si>
    <t>GÜ</t>
  </si>
  <si>
    <t>Lager</t>
  </si>
  <si>
    <t>ID</t>
  </si>
  <si>
    <t>Aktiv (0/1)</t>
  </si>
  <si>
    <t>Name</t>
  </si>
  <si>
    <t>Kategorien (x, y, z. ..)</t>
  </si>
  <si>
    <t>Preis zzgl. MwSt.</t>
  </si>
  <si>
    <t>Preis inkl. MwSt.</t>
  </si>
  <si>
    <t>ID Steuersatz</t>
  </si>
  <si>
    <t>Einkaufspreis</t>
  </si>
  <si>
    <t>Artikel-Nr.</t>
  </si>
  <si>
    <t>Lieferant</t>
  </si>
  <si>
    <t>Hersteller</t>
  </si>
  <si>
    <t>EAN 13</t>
  </si>
  <si>
    <t>Beschreibung</t>
  </si>
  <si>
    <t>Stichwörter</t>
  </si>
  <si>
    <t>Meta-Title</t>
  </si>
  <si>
    <t>Meta-Suchworte</t>
  </si>
  <si>
    <t>Bestellbar (0/1)</t>
  </si>
  <si>
    <t>Preis anzeigen (0/1)</t>
  </si>
  <si>
    <t>URLs der Bilder</t>
  </si>
  <si>
    <t>RewriteLink</t>
  </si>
  <si>
    <t>tot. VK</t>
  </si>
  <si>
    <t>tot. EK</t>
  </si>
  <si>
    <t>Accueil,Messer plus,Klappmesser</t>
  </si>
  <si>
    <t>Mike Five G-10,Accueil,Messer plus,Klappmesser,Pohl Force</t>
  </si>
  <si>
    <t>Walther MachTac 2 Machete</t>
  </si>
  <si>
    <t>Accueil,Messer plus,feste Klinge</t>
  </si>
  <si>
    <t>Airsoft</t>
  </si>
  <si>
    <t>Walther</t>
  </si>
  <si>
    <t>Die außergewöhnlich stark dimensionierten Klinge ist aus 440er Stahl und durch ihre Beschichtung sehr unempfindlich - so wie ein Grossmesser mit hohem Gebrauchswert sein soll.</t>
  </si>
  <si>
    <t>Messer 24/7 CK109 Folder Smith &amp; Wesson</t>
  </si>
  <si>
    <t>Smith &amp; Wesson</t>
  </si>
  <si>
    <t>Smith &amp; Wesson CK109 24-7 Folder w/ Drop Point Blade/Aluminum Handle  Smith &amp; Wesson CK109 24-7 Folder Knife Features: Folder w/Drop Point Blade Aluminum Handle Smith &amp; Wesson CK109 24-7 Folder Knife Specifications: Manufacturer: Smith &amp; Wesson Part No: CK109 Weight: 1 lbs.Smith &amp; Wesson CK109 24-7 Folder Knife Includes: (1) Smith &amp; Wesson CK109 24-7 Folder w/ Drop Point Blade/Aluminum Handle</t>
  </si>
  <si>
    <t>Messer 24/7 CK109 Folder Smith &amp; Wesson,Accueil,Messer plus,Klappmesser,Airsoft</t>
  </si>
  <si>
    <t>01MB856</t>
  </si>
  <si>
    <t>USN Seals Taktische Einsatzmesser</t>
  </si>
  <si>
    <t>Böker</t>
  </si>
  <si>
    <t>Magnum</t>
  </si>
  <si>
    <t>Dieses funktionale Messer ist der weltbekannten Elite-Einheit der Navy SEALS gewidmet. Der schwarz beschichtete Aluminiumgriff trägt ein Emblem mit dem Wappen dieser Spezialeinheit. Die rostfreie Klinge aus 440er Stahl arretiert über den Linerlock. Die Bohrungen verleihen der Klinge eine eigene Note und reduzieren zudem das Gewicht. Am Griffende befindet sich ein Glasbrecher und ein Gurtschneider. Somit empfiehlt sich dieses Messer für jede Notfallausrüstung im PKW. Inkl. Hosenclip. Gesamtlänge 20 bm. Klinge 8 cm. Stärke 3 mm. Gewicht 116 g.</t>
  </si>
  <si>
    <t>Taktische Einsatzmesser,Accueil,Messer plus,Klappmesser,Böker</t>
  </si>
  <si>
    <t>Haller</t>
  </si>
  <si>
    <t>Black Field</t>
  </si>
  <si>
    <t>BlackField HAMMER</t>
  </si>
  <si>
    <t>Das BlackField HAMMER ist ein kräftiges Machetenmesser. Die Integralklinge aus 440 rostfreiem Stahl ist titanbeschichtet und hat eine Stärke von 6 mm. Sie ist mit einem Teilwellenschliff und einer Anreissäge versehen und am Griffende als Glasbrecher ausgeformt. Als Griffbeschalung sind G10 Auflagen aufgeschraubt. Inklusive kräftiger Nylonscheide mit Vortasche. Klingenlänge 255 mm Gesamtlänge 410 mm Gewicht 690 g</t>
  </si>
  <si>
    <t>BlackField HAMMER,Accueil,Messer plus,feste Klinge,Haller</t>
  </si>
  <si>
    <t>Maserin Pilzmesser</t>
  </si>
  <si>
    <t>Maserin</t>
  </si>
  <si>
    <t>Die nicht feststellbare Klinge ist aus 420 rostfreiem Stahl. Der Griff ist aus Olivenholz mit einklappbarer Bürste. Klingenlänge 85 mm</t>
  </si>
  <si>
    <t>Maserin Pilzmesser,Accueil,Messer plus,Klappmesser,Haller</t>
  </si>
  <si>
    <t>P99 Knife</t>
  </si>
  <si>
    <t>Bei den neuen Messern aus der WALTHER-Serie standen die gleichnamigen Faustfeuerwaffen Pate, d.h. die Griffe haben eine ähnliche Riffelung. Das Einhandmesser P 99 ist ein weiteres Highlight in der Messer-Serie von WALTHER! Es lässt sich mittels Flipper spielend leicht öffnen, der Gang des Messers ist butterweich. Der Benutzer kann durch die drei verschiedenen, austauschbaren Wechselrücken das Messer auf seine Bedürfnisse anpassen. Ein Nylon-Gürtelholster ist im Preis mit inbegriffen.</t>
  </si>
  <si>
    <t>P99 Knife,Accueil,Messer plus,feste Klinge,Airsoft</t>
  </si>
  <si>
    <t>02SC745</t>
  </si>
  <si>
    <t>Li'L Friend Clip Poin</t>
  </si>
  <si>
    <t>Diese Serie von kleinen und enorm praktischen Neck Knives wird fester Bestandteil in Ihrem Portfolio der täglich einzusetzenden Schneidwerkzeuge. Klein, leicht, scharf und ungemein vielseitig. Die scharfen Klingen aus 440er Stahl öffnen Blisterverpackungen, trennen Packbänder durch und schneiden Gewebeklebeband mit Leichtigkeit. Die Vielseitigkeit dieser "Little friends" bezieht sich jedoch nicht nur auf die Funktion, sondern auch auf die vielfältigen Tragemöglichkeiten. In der Hosentasche, mit der Kugelkette um den Hals, an der Ausrüstung befestigt oder selbst am Gürtel können diese "kleinen Freunde" getragen werden. Alle Messer werden mit einer hochwertigen Kydexscheide ausgeliefert. Bei diesem Model kommt schwarzes G-10 als Griffmaterial zum Einsatz. Die Klinge weist die beliebte Clippoint- Form auf.</t>
  </si>
  <si>
    <t>Li'L Friend Clip Poin,Accueil,Messer plus,feste Klinge,Böker</t>
  </si>
  <si>
    <t>United Cutlery</t>
  </si>
  <si>
    <t>02FX9CM04T</t>
  </si>
  <si>
    <t>Extreme Tactical Kukri</t>
  </si>
  <si>
    <t>FKMD</t>
  </si>
  <si>
    <t>Haumesser für härteste Beanspruchungen und extremen Einsatz. Die Klinge aus 6 mm starkem N690 Stahl ist, Kukri-typisch, stark nach vorne abgewinkelt und schlägt sich mühelos durchs Unterholz. Mit der 23,5 cm langen Klinge hat man genug Reichweite und Wucht um problemlos für längere Zeit auch anspruchsvollen Schneid- und Hackarbeiten gewappnet zu sein. Inkl. schwarzer Cordura Scheide.</t>
  </si>
  <si>
    <t>CST-26SXP</t>
  </si>
  <si>
    <t>Taschenmesser Ti-Lite, 6-Zoll-Klinge, Edelstahl, Zy-Ex-Griff</t>
  </si>
  <si>
    <t>Coldsteel</t>
  </si>
  <si>
    <t>Klappmesser in maßgefertigter Qualität sind zweifellos stabil, leicht und schön anzusehen, aber auch recht kostspielig. Da viele den Look der Ti-Lites® zwar lieben, aber deren Preis etwas zu hoch finden, hat Cold Steel sehr erschwingliche Alternativen entwickelt.  Die Zy-Ex™ Ti-Lites® sehen fast genauso aus wie ihre teureren Pendants, aber bei der Herstellung dieser Modelle wurde für die Griffschalen glasverstärktes Zy-Ex™ anstatt 7075er Aluminium und für die Klingen japanischer AUS 8A Stahl anstelle von amerikanischem XHP Stahl verwendet.  Das Ergebnis sind außergewöhnlich leichte Messer, die unglaublich stabil, scharf, gut aussehend und für so gut wie jeden Geldbeutel erschwinglich sind. Details:  Ti-Lite, 6-Zoll-Klinge, Zy-Ex™ Griff  - Klingenmaterial: Japanischer Edelstahl AUS 8A - Gesamtlänge: ca. 33 cm  - Klingenlänge: ca. 15,2 cm (6 Zoll) - Klingenstärke: ca. 4 mm - Griff: ca. 17,8 cm lang, aus Zy-Ex™ - Mit Taschen- bzw. Gürtelclip aus rostfreiem Stahl - Gewicht: ca. 213 g </t>
  </si>
  <si>
    <t>Taschenmesser Ti-Lite 4-Zoll-Klinge, CTS XHP, G-10 Griff</t>
  </si>
  <si>
    <t>Taschenmesser Ti-Lite, 4-Zoll-Klinge aus Carpenter CTS® XHP Stahl mit schwarzer DLC-Beschichtung und glatter Schneide. Griff aus schwarzem G-10 - Cold Steel Ti-Lite® Serie - Limitierte Sonderedition 2015 Die Klappmesser der Ti-Lite®-Serie rufen Erinnerungen an die geschmeidige Flinkheit und das rebellische Design des kultigen Springmessers der 50er Jahren wach. Diese Messer verfügen über Klingen aus amerikanischem CTS® XHP Stahl mit rasiermesserscharfen Schneiden und robusten, äußerst scharfen Spitzen, und für maximale Festigkeit und Sicherheit hat die Firma Cold Steel die Messer mit sog. Liner-Locks (Seitenfeder-Verriegelung) aus Edelstahl ausgerüstet, die bei hauseigenen Tests ein Gewicht von bis zu ca. 66 kg (145 Lbs.) aushalten konnten. Zum bequemen Mitführen sind die Ti-Lites® mit einem kleinen, unauffälligen Taschenclip aus Stahl ausgestattet. Sie lassen sich schnell aufklappen, entweder über die Daumenstifte oder durch Anhaken eines der Parierelemente an die Taschenkante beim Herausziehen aus der Tasche.  Limitierte Sonderedition für 2015 - Das hier präsentierte Klappmesser Ti-Lite besitzt eine ca. 10,2 cm (4 Zoll) lange, DLC-beschichtete Carpenter CTS® XHP Stahlklinge mit glatter Schneide und ist mit Griffschalen aus schwarzem G-10 ausgestattet.  Carpenter CTS® XHP Stahl  er Carpenter American CTS® XHP-Stahl ist ein hochlegierter Pulverstahl mit hohen Kohlenstoff- und Chromanteilen. Er besitzt eine sehr eindrucksvolle Schnitthaltigkeit. Mit seiner extrem feinkörnigen, gleichförmigen Struktur übertrifft er äquivalente Flussstähle um Längen. Dieser Hochleistungsstahl wird für viele Produkte verwendet, ob für erstklassige Küchenmesser oder Operationsbestecke. Seine polierte Oberfläche erscheint wunderschön seidenmatt und seine Schneiden können extrem scharf ausgeschliffen werden, was diesen Stahl zu einem erstklassigen Klingenmaterial für Messer des täglichen Gebrauchs macht. Details: - Ti-Lite mit glatter 4-Zoll-Klinge, LIMITIERTE SONDEREDITION mit schwarzem G-10 Griff  - Klingenmaterial: Amerikanischer Carpenter CTS® XHP Stahl mit DLC-Beschichtung  - Gesamtlänge: ca. 22,2 cm  - Klingenlänge: ca. 10,2 cm (4 Zoll)  - Klingenstärke: ca. 3 mm  - Griff: ca. 12 cm lang, aus schwarzem G-10  - Mit Taschen- bzw. Gürtelclip aus rostfreiem Stahl  - Gewicht: ca. 130 g </t>
  </si>
  <si>
    <t>Taschenmesser Ti-Lite 6-Zoll-Klinge, CTS XHP, G-10 Griff</t>
  </si>
  <si>
    <t>Die Klappmesser der Ti-Lite®-Serie rufen Erinnerungen an die geschmeidige Flinkheit und das rebellische Design des kultigen Springmessers der 50er Jahren wach. Oft kopiert doch nie erreicht - Das vom großartigen (leider mittlerweile verstorbenen) Phil Boguszewski entworfene Ti-Lite® ist ein Meisterwerk an Leistung und Stil. Und nun wird dieses äußerst beliebte, äußerst belastbare taktische Taschenmesser auch in einer Version angeboten, die aus einigen der derzeit hochwertigsten - in den USA produzierten - Materialien auf dem Markt hergestellt wird! Dieses Ti-Lite® der Luxusklasse verfügt über eine Klinge aus amerikanischem CTS® XHP Pulverstahl und legt somit eine erstklassige Schnitthaltigkeit an den Tag. Eine tief schwarze DLC-Beschichtung sorgt für noch bessere Beständigkeit und Kratzfestigkeit. Für maximale Festigkeit und Sicherheit hat Cold Steel das Messer mit Liner-Locks (Seitenfeder-Verriegelung) aus Edelstahl ausgerüstet, die bei hauseigenen Tests ein Gewicht von bis zu ca. 60 kg (130 Lbs.) aushalten konnten. Zum bequemen Mitführen sind die Ti-Lites® mit einem kleinen, unauffälligen Taschenclip aus Stahl ausgestattet. Sie lassen sich schnell aufklappen, entweder über die Daumenstifte oder durch Anhaken eines der markanten, geschweiften Nasenbzw. Parierelemente an den  Taschensaum beim Herausziehen aus der Hosentasche. Jeder G-10-Griff wird äußerst sorgfältig und mit großem Aufwand 3D CNC-gefräst, und liegt somit unfassbar bequem in der Hand, für welche Grifftechnik auch immer Du Dich entscheidest. Außerdem ist amerikanisches G-10 ein hochqualitatives Material, das ein bemerkenswertes Leistungs-Gewichts-Verhältnis aufweist. Dadurch kann dieses Messer sogar den mit Alu-Griff ausgestatteten Modellen der Kollektion ernsthafte Konkurrenz machen - und dies zu einem Bruchteil des Gewichts! Mit dem schnittigen, leichten und unbestreitbar schönen G-10 Ti-Lite® erreicht diese bereits kultige Messerserie ein bisher noch nie erreichtes Leistungsniveau! Dazu sagte Custom-Messermacher Andrew Demko folgendes: Wenn es um reine Performance geht, ist das neue Ti-Lite® technisch betrachtet das Beste vom Besten! Hier hat ein von einem fantastischen Custom-Messermacher kreierter Klassiker eine ganz neue Dimension erreicht! Carpenter CTS® XHP Stahl Der Carpenter American CTS® XHP-Stahl ist ein hochlegierter Pulverstahl mit hohen Kohlenstoff- und Chromanteilen. Er besitzt eine sehr eindrucksvolle Schnitthaltigkeit. Mit seiner extrem feinkörnigen, gleichförmigen Struktur übertrifft er äquivalente Flussstähle um Längen. Dieser Hochleistungsstahl wird für viele Produkte verwendet, ob für erstklassige Küchenmesser oder Operationsbestecke. Seine polierte Oberfläche erscheint wunderschön seidenmatt und seine Schneiden können extrem scharf ausgeschliffen werden, was diesen Stahl zu einem erstklassigen Klingenmaterial für Messer des täglichen Gebrauchs macht. Details: - Ti-Lite, 6-Zoll-Klinge, schwarzer G-10 Griff - Klingenmaterial: Amerikanischer Carpenter CTS® XHP Stahl mit DLC-Beschichtung - Gesamtlänge: ca. 33 cm - Klingenlänge: ca. 15,2 cm (6 Zoll) - Klingenstärke: ca. 4 mm - Griff: ca. 17,8 cm lang, aus G-10 - Mit Taschen- bzw. Gürtelclip aus rostfreiem Stahl - Gewicht: ca. 201 g </t>
  </si>
  <si>
    <t>01MB946DAM</t>
  </si>
  <si>
    <t>Damascus Duke</t>
  </si>
  <si>
    <t>Mit diesem exquisiten und praktischen Messer werden sie beeindrucken. Die 37-lagige Damastklinge mit ihrer feinen Damaststruktur und die dekorativ geätzten Backen verdeutlichen den Wert des Messers. Die handverlesene Wurzelholzbeschalung sorgt für eine hervorragende Handlage. Das Damascus Duke ist trotz aller Eleganz ein vollwertiges Gebrauchsmesser mit Lock-Back Sicherung und Fangriemenöse, das sich im Alltag bestens bewährt. Gesamtlänge 14,5 cm. Klinge 6,2 cm. Stärke 2 mm. Gewicht 61 g.</t>
  </si>
  <si>
    <t>Linder</t>
  </si>
  <si>
    <t>Linder Black Line 1</t>
  </si>
  <si>
    <t>Wer auf optimierte Balance und Griffigkeit und damit auf ein Höchstmaß an Praxistauglichkeit Wert legt kommt an dieser Modellreihe nicht vorbei. Starke 8 cm lange Klinge aus rostfreiem 1.4034 Stahl, beschichtet. Ergonomisch geformter Elastomergriff. Gesamtlänge 19,5 cm. Heftlänge 11,5 cm. Gewicht 112 g.</t>
  </si>
  <si>
    <t>Linder Black Line 3</t>
  </si>
  <si>
    <t>Wer auf optimierte Balance und Griffigkeit und damit auf ein Höchstmaß an Praxistauglichkeit Wert legt kommt an dieser Modellreihe nicht vorbei. Starke 8 cm lange Klinge aus rostfreiem 1.4034 Stahl, beschichtet. Ergonomisch geformter Elastomergriff. Gesamtlänge 19,5 cm. Heftlänge 11,5 cm. Gewicht 112 g. Linder Black Line 3: Klinge schwarz beschichtet</t>
  </si>
  <si>
    <t>CST-26B4</t>
  </si>
  <si>
    <t>Taschenmesser Ti-Lite, 4-Zoll-Klinge, CTS XHP, Alu-Griff</t>
  </si>
  <si>
    <t>Die Klappmesser der Ti-Lite®-Serie rufen Erinnerungen an die geschmeidige Flinkheit und das rebellische Design des kultigen Springmessers der 50er Jahren wach. Sie verfügen über scharfe, glasperlengestrahlte Klingen und CNC-gefrästen Griffe aus 7075er Aluminium mit KTL-Schutzschicht (KTL = kathodische Tauchlackierung). Für maximale Festigkeit und Sicherheit hat Cold Steel die Ti-Lites® mit Liner-Locks (Seitenfeder-Verriegelung) aus Edelstahl ausgerüstet, die bei hauseigenen Tests ein Gewicht von bis zu ca. 66 kg (145 lbs.) aushalten konnten. Zum bequemen Mitführen sind die Ti-Lites® mit einem kleinen, unauffälligen Taschenclip aus Stahl ausgestattet. Sie lassen sich schnell aufklappen, entweder über die Daumenstifte oder durch Anhaken eines der Parierelemente an den Taschensaum beim Herausziehen aus der Hosentasche.  Carpenter CTS® XHP Stahl  Der Carpenter American CTS® XHP-Stahl ist ein hochlegierter Pulverstahl mit hohen Kohlenstoff- und Chromanteilen. Er besitzt eine sehr eindrucksvolle Schnitthaltigkeit. Mit seiner extrem feinkörnigen, gleichförmigen Struktur übertrifft er äquivalente Flussstähle um Längen. Dieser Hochleistungsstahl wird für viele Produkte verwendet, ob für erstklassige Küchenmesser oder Operationsbestecke. Seine polierte Oberfläche erscheint wunderschön seidenmatt und seine Schneiden können extrem scharf ausgeschliffen werden, was diesen Stahl zu einem erstklassigen Klingenmaterial für Messer des täglichen Gebrauchs macht. Details:  - Ti-Lite, 4-Zoll-Klinge, Alu-Griff  - Klingenmaterial: Amerikanischer Carpenter CTS® XHP Stahl, glasperlengestrahlt - Gesamtlänge: ca. 22,2 cm - Klingenlänge: ca. 10,2 cm (4 Zoll)  - Klingenstärke: ca. 3 mm - Griff: ca. 12 cm lang, aus Aluminium 7075 - Mit Taschen- bzw. Gürtelclip aus rostfreiem Stahl - Gewicht: ca. 130 g</t>
  </si>
  <si>
    <t>01AN002</t>
  </si>
  <si>
    <t>Ara_Tact N/S</t>
  </si>
  <si>
    <t>Antonini</t>
  </si>
  <si>
    <t>Die Messer der "Linea Soccorso" sind als moderne Rettungs- und Spezialmesser konzipiert, die in vielen Situationen unschätzbar wertvolle Hilfe leisten können. Gefräste Aluminiumgriffe mit einer perfekten Handlage, spezifische Zusatzfunktionen und eine ausgezeichnete Verarbeitung sorgen für Stabilität, Praxistauglichkeit und höchste Zuverlässigkeit. Per Schiebesicherung kann die Klinge auch in geschlossenem Zustand im Griff gesichert werden. Eine 1/4"-Sechskantöffnung im Griffende ermöglicht die Verwendung normaler Standardbits zu Funktionserweiterung. Die Hawkbillklinge ist aus D2 (58-60 HRC) gefertigt und mit einer korrosionshemmenden Klingenbeschichtung nach MilSpec-Standard versehen. Der aggressive Teilwellenschliff und die abgerundete Spitze sorgen für gefahrlose und hocheffektive Kappschnitte. Zusätzlich ist im Griffende ein Gurtschneider und ein Glasbrecher angebracht. Verriegelung per Linerlock. Schäkelöffner in der Hauptklinge. Der Bithalter, die große Fangriemenöse und ein abnehmbarer Clip ergänzen den Funktionsumfang.</t>
  </si>
  <si>
    <t>Taschenmesser Ti-Lite mit 6-Zoll-Klinge aus Carpenter CTS® XHP Stahl und Griff aus Aluminium</t>
  </si>
  <si>
    <t>Die Klappmesser der Ti-Lite®-Serie rufen Erinnerungen an die geschmeidige Flinkheit und das rebellische Design des kultigen Springmessers der 50er Jahren wach. Sie verfügen über scharfe, glasperlengestrahlte Klingen und CNC-gefrästen Griffe aus 7075er Aluminium mit KTL-Schutzschicht (KTL = kathodische Tauchlackierung).Für maximale Festigkeit und Sicherheit hat Cold Steel die Ti-Lites® mit Liner-Locks (Seitenfeder-Verriegelung) aus Edelstahl ausgerüstet, die bei hauseigenen Tests ein Gewicht von bis zu ca. 66 kg (145 lbs.) aushalten konnten.Zum bequemen Mitführen sind die Ti-Lites® mit einem kleinen, unauffälligen Taschenclip aus Stahl ausgestattet. Sie lassen sich schnell aufklappen, entweder über die Daumenstifte oder durch Anhaken eines der Parierelemente an den Taschensaum beim Herausziehen aus der Hosentasche. Carpenter CTS® XHP Stahl Der Carpenter American CTS® XHP-Stahl ist ein hochlegierter Pulverstahl mit hohen Kohlenstoff- und Chromanteilen. Er besitzt eine sehr eindrucksvolle Schnitthaltigkeit. Mit seiner extrem feinkörnigen, gleichförmigen Struktur übertrifft er äquivalente Flussstähle um Längen. Dieser Hochleistungsstahl wird für viele Produkte verwendet, ob für erstklassige Küchenmesser oder Operationsbestecke. Seine polierte Oberfläche erscheint wunderschön seidenmatt und seine Schneiden können extrem scharf ausgeschliffen werden, was diesen Stahl zu einem erstklassigen Klingenmaterial für Messer des täglichen Gebrauchs macht. Details: - Ti-Lite, 6-Zoll-Klinge, Alu-Griff - Klingenmaterial: Amerikanischer Carpenter CTS® XHP Stahl, glasperlengestrahlt- Gesamtlänge: ca. 33 cm - Klingenlänge: ca. 15,2 cm (6 Zoll) - Klingenstärke: ca. 4 mm - Griff: ca. 17,8 cm lang, aus Aluminium 7075 - Mit Taschen- bzw. Gürtelclip aus rostfreiem Stahl - Gewicht: ca. 255 g </t>
  </si>
  <si>
    <t>Zeitloses Schließmesser</t>
  </si>
  <si>
    <t>Stabiles Schließmesser mit gefälliger Formgebung. Wurzelholzschalen. Klinge aus 440A Stahl, Backen rostfrei. Heftlänge 12 cm.</t>
  </si>
  <si>
    <t>Walther Micro PPQ Folder</t>
  </si>
  <si>
    <t>Walther Micro PPQ Mini-Messer
Eine Miniatur-Ausgabe des Walther PPQ Messers mit 11 Zentimetern Gesamtlänge, aber genauso funktionell und schneidtauglich. Das Walther Micro PPQ erzeugt mit seinem Design eine gerade Verbindung zur gleichnamigen Walther Pistole. Durch die spezielle PPQ Oberflächenstruktur bietet das Messer einen sicheren Halt und ein komfortable Handhabung. Die anthrazit beschichtete Spearpoint-Klinge besteht aus 440 C Stahl.</t>
  </si>
  <si>
    <t>02MU073</t>
  </si>
  <si>
    <t>Fahrtenmesser Muela Scorpion</t>
  </si>
  <si>
    <t>Muela</t>
  </si>
  <si>
    <t>Die neue Jagdmesserserie vom Muela besitzt als übereinstimmendes Merkmal äußerst rutschfeste Griffe aus dem bewährten Kraton, das sich seit Jahren großer Beliebtheit bei allen Messernutzern erfreut, denen die Funktionalität des Messers das wichtigste Kriterium ist. Nicht nur bei Nässe, sondern auch bei großer Kälte oder mit Handschuhen greift sich Kraton wesentlich sicherer und bietet erheblich mehr Grip als klassische Griffe aus Naturmaterialien. Zudem ist natürlich auch die Resistenz gegen Nässe wesentlich höher. Ein Edelstahl-Parierelement schließt den Kratongriff zur Klinge hin ab. Lieferung mit schwarzer Lederscheide.
Gesamtlänge: 37,0 cm
Klingenlänge: 25,8 cm
Gewicht: 350 g
Klingenstärke: 4,5 mm
Klingenmaterial: 420
Griffmaterial: Kraton
Verschluss: feststehend</t>
  </si>
  <si>
    <t>02RD011</t>
  </si>
  <si>
    <t>Steakmesser-set Wacholderholz - Sechs Messer</t>
  </si>
  <si>
    <t>Laguiole</t>
  </si>
  <si>
    <t>Original laguiole Steakmesser in besonders edlen Restaurants wird zum Steak ein original Laguiole Messer serviert. Die schlanke Klingenform und die elegante Linien-führung haben diese Messer weltberühmt gemacht. Handgefertigt in der bekannten Messerschmiede Robert David in Thiers, Frankreich, werden die rostfreien Klingen spiegelpoliert und rasiermesserscharf geschliffen. Das traditionelle Schäferkreuz in den Griffschalen, die von Hand gearbeiteten Ziselierungen am Griffrücken und die Biene, das napoleonische Wappentier, dürfen wie bei allen original französischen Laguiole-Messern auch bei den feststehenden Steakmessern nicht fehlen. Diese Messer werden in sorgfältiger Handarbeit hergestellt und spiegeln die französische Tradition und Esskultur wider. Sie heben sich in Verarbeitungsqualität und Schärfe der Klingen deutlich von den billigen Plagiaten aus Asien ab. Auslieferung mit Geschenkbox und Zertifikat. Erhältlich in zwei Ausführungen: Steakmesser-set Wacholderholz - Sechs feststehende Messer mit Griffschalen aus edlem Wacholderholz, das angenehm nach frisch gemahlenem Pfeffer riecht.</t>
  </si>
  <si>
    <t>09RD001</t>
  </si>
  <si>
    <t>Steakgabel-Set Wacholderholz mit sechs Gabeln</t>
  </si>
  <si>
    <t>In besonders edlen Restaurants wird zum Steak ein original Laguiole Besteck gereicht. Die schlanke Klingenform und die elegante Linienführung haben die Laguiole-Messer weltberühmt gemacht. Handgefertigt in der bekannten Messerschmiede Robert David in Thiers, Frankreich, werden die rostfreien Klingen spiegelpoliert und rasiermesserscharf geschliffen. Das traditionelle Schäferkreuz in den Griffschalen, die von Hand gearbeiteten Ziselierungen am Griffrücken und die Biene, das napoleonische Wappentier, dürfen wie bei allen original französischen Laguiole-Messern auch bei den feststehenden Steakmessern nicht fehlen.
Passend dazu bieten wir nun auch die Gabeln aus 12C27 Stahl mit Griff aus Wacholderholz. Die Liebe zum Detail die exklusive Materialauswahl und hohe Verarbeitungsqualität macht sie zur idealen Ergänzung zu den Steakmessern (02RD011 und 02RD012). Dieses Besteck wird in sorgfältiger Handarbeit hergestellt und spiegelt die französische Tradition und Esskultur wider.
Steakgabel-Set mit sechs Gabeln mit Griffschalen aus edlem Wacholderholz, das angenehm nach frisch gemahlenem Pfeffer riecht.</t>
  </si>
  <si>
    <t>01MB550DAM</t>
  </si>
  <si>
    <t>Feines Modell mit Damastklinge und Damastbacke. Die feine Quittenholzbeschalung vervollständigt das klassisch-edle Erscheinungsbild.Gewicht: 58,0 g
Griffmaterial: Holz
Gesamtlänge: 15,0 cm
Verschluss: Backlock
Artikeltyp: Taschenmesser
Klingenlänge: 6,4 cm
Klingenmaterial: Damast
Klingenstärke: 2,2 mm
Hersteller / Marke: Magnum</t>
  </si>
  <si>
    <t>Walther P22 Messer</t>
  </si>
  <si>
    <t>airsoft</t>
  </si>
  <si>
    <t>Bei den neuen Messern aus der WALTHER-Serie standen die gleichnamigen P22 Pate, d.h. die Griffe haben eine ähnliche Riffelung.
Dieses Messer besteht aus einer Spearpoint Klinge aus 440 C Stahl und verfügt
über eine Liner Lock Arretierung.
Der Griff besteht aus Stahl und ist für eine bessere Griffigkeit mit Gummi beschichtet. Das Modell kommt inklusive Nylon-Scheide mit Gürtelschlaufe.</t>
  </si>
  <si>
    <t>BlackField SKELETON</t>
  </si>
  <si>
    <t>BlackField</t>
  </si>
  <si>
    <t>Das BlackField SKELETON komplett aus titanbeschichtetem 440 rostfreiem Stahl hergestellt. Am Griffstück sind G10 Platten aufgeschraubt und eine Wicklung aus schwarzer Paracord angebracht, welche als Fangriemen ausläuft.
Mit kräftiger Nylonscheide.
Klingenlänge 90 mm
Gesamtlänge 200 mm
Gewicht 135 g</t>
  </si>
  <si>
    <t>Linder Black Line 2</t>
  </si>
  <si>
    <t>Linder Black Line 2
Wer auf optimierte Balance und Griffigkeit und damit auf ein Höchstmaß an Praxistauglichkeit Wert legt kommt an dieser Modellreihe nicht vorbei. Starke 8 cm lange Klinge aus rostfreiem 1.4034 Stahl, beschichtet. Ergonomisch geformter Elastomergriff. Gesamtlänge 19,5 cm. Heftlänge 11,5 cm. Gewicht 112 g.
Linder Black Line 2: Klinge Zebra-beschichtet</t>
  </si>
  <si>
    <t>BlackField SMASHER</t>
  </si>
  <si>
    <t>Ein kräftiges Haumesser ist das BlackField SMASHER.
Die Integralklinge aus 440 rostfreiem Stahl ist titanbeschichtet und hat eine Stärke von 6 mm. Sie ist mit einem Teilwellenschliff versehen. Als Griffbeschalung sind kräftige Kunststoffschalen aufgeschraubt und am Griffende befindet sich ein Fangriemen.
Inklusive kräftiger Nylonscheide mit Vortasche, welche verschiedene Tragemöglichkeiten bietet.
Klingenlänge 220 mm
Gesamtlänge 350 mm
Gewicht 500 g</t>
  </si>
  <si>
    <t>BlackField DESERT STORM</t>
  </si>
  <si>
    <t>BlackField DESERT STORM
Ein kräftiges Messer mit vielen Funktionen.
Die schwarz beschichtete Klinge ist aus 440 rostfreiem Stahl und mit einem Teilwellenschliff versehen. Zusätzlich sind am Klingenrücken ein Gurtschneider und ein Kapselheber integriert. Die Griffbeschalung aus Hartgummi sorgt durch rutschfeste Einlagen für einen perfekten Halt auch bei Nässe. Am Griffende befindet sich zusätzlich ein Glasbrecher.Dank der kräftigen Parierstange und den Fingermulden lässt sich das Messer auch mit Handschuhen sicher greifen.
Die Nylonscheide bietet verschiedene Tragemöglichkeiten und verfügt über eine aufgesetzte Vortasche.
Klingenlänge 220 mm
Gesamtlänge 360 mm
Gewicht 410 g</t>
  </si>
  <si>
    <t>Klötzli</t>
  </si>
  <si>
    <t>SOG</t>
  </si>
  <si>
    <t>SOG-MC-11-N</t>
  </si>
  <si>
    <t>SOG FARI KUKRI</t>
  </si>
  <si>
    <t>Machete in Kukri-Form, schwarze Klinge mit Rückensäge. Kratongummigriff,
Nylonetui,
Länge 46 cm, 
Klinge 30cm x 0.2cm, 
440g</t>
  </si>
  <si>
    <t>Walther Mach Tac 1 Machete</t>
  </si>
  <si>
    <t>Walther Machete
mit gehärteter 440 Stainless Steel Klinge
Ergonomisch geformter Griff und Reißhaken
Klingenstärke 4,5 mm</t>
  </si>
  <si>
    <t>SOG-GB1001-CP</t>
  </si>
  <si>
    <t>Fahrtenmesser SOG Gambit</t>
  </si>
  <si>
    <t>Das Gambit ist ein kompaktes und vielseitiges Messer, das mit seiner leicht klauenförmigen Klinge vor allem bei Kapp- und Zugschnitten seine Stärken ausspielt. Die sichere Handhabung wird durch den Ring am Griffende und die strukturierten Griffschalen aus GRN gewährleistet. Die Scheide ist ebenfalls aus glasfaserverstärktem Kunststoff gefertigt und lässt sich nicht nur mit dem bei liegenden Clip, sondern auch mit der Gurtaufnahme oder den Schnur-/ Kettenösen tragen.
Gesamtlänge: 18,5 cm
Klingenlänge: 6,6 cm
Gewicht: 79 g
Klingenmaterial: 7Cr17MoV
Griffmaterial: GRN
Verschluss: feststehend</t>
  </si>
  <si>
    <t>02LL316</t>
  </si>
  <si>
    <t>Fahrtenmesser Magnum Back Country Subhilt Micarta</t>
  </si>
  <si>
    <t>Ein Subhilt-Messermodell ist schon immer etwas ganz besonderes gewesen und meist nur in drei- bis vierstelligen Preisregionen erhältlich. Die Konstruktion ist enorm aufwändig und kostspielig! Charakteristisch ist der zweite Handschutz zwischen Zeige- und Mittelfinger, der ein Abgleiten vom Griff unmöglich macht. Die schön geschwungene Klinge aus 440A-Edelstahl ist fein satiniert und durch den Schwung der Klinge perfekt geeignet für alle Outdooraktivitäten. Der Griff aus schwarzem Micarta greift sich satt und sicher und verschmilzt förmlich mit der Hand. Die geriffelte Daumenauflage ermöglicht ein kraftvolles und kontrolliertes Schneiden. Ausgeliefert wird das hochwertige und stabile Messer mit Lederscheide.
Gesamtlänge: 27,0 cm
Klingenlänge: 15,0 cm
Gewicht: 325 g
Klingenstärke: 5,0 mm
Klingenmaterial: 440A
Griffmaterial: Micarta
Verschluss: feststehend</t>
  </si>
  <si>
    <t>01MB180DAM</t>
  </si>
  <si>
    <t>Taschenmesser Magnum Damast Bone</t>
  </si>
  <si>
    <t>Ein prächtiges Damasttaschenmesser, mit fein gezeichneter Damastklinge und Damastbacke. Als Beschalung kommt polierter Knochen zum Einsatz, der einen schönen Kontrast zum dunkleren Damast erzeugt. Lockback-Verriegelung. Ohne Clip.
Gesamtlänge: 17,7 cm
Klingenlänge: 7,8 cm
Gewicht: 102 g
Klingenstärke: 2,3 mm
Klingenmaterial: Damast
Griffmaterial: Knochen
Verschluss: Backlock</t>
  </si>
  <si>
    <t>01MB428</t>
  </si>
  <si>
    <t>Taschenmesser Magnum Shadow</t>
  </si>
  <si>
    <t>Die stabilen Aluminium-Griffschalen sparen aufgrund der Durchbrüche an Gewicht. Die schwarz beschichtete 440er Klinge wird durch den bewährten Linerlock gesichert. Inklusive Clip und Fangriemenöse.Gesamtlänge: 19,1 cm
Klingenlänge: 8,3 cm
Gewicht: 83 g
Klingenmaterial: 440A
Griffmaterial: Aluminium
Verschluss: Linerlock</t>
  </si>
  <si>
    <t>Eickhorn</t>
  </si>
  <si>
    <t>02OE006</t>
  </si>
  <si>
    <t>Fahrtenmesser Outdoor Edge Butcher-Lite</t>
  </si>
  <si>
    <t xml:space="preserve">Outdoor Edge </t>
  </si>
  <si>
    <t>Dieses achtteilige Universal Set bietet dem Waidmann alles, was er zum Zerwirken "vom Revier bis in den Kühlschrank" benötigt. Zum Aufbrechen, Abhäuten, Ringeln, Präparieren oder Zerwirken und Portionieren. Mit dem Spreizer lässt sich die Kammer ohne Wildbretschäden öffnen. Die Klingen sind aus 420er Stahl gefertigt. Die Kraton-Griffe verfügen über eine schwarze, rutschhemmende Geweihstruktur und liegen angenehm und sicher in der Hand. Das Set wird in einer platzsparenden Rolltasche geliefert, die auch am Gürtel getragen werden kann und Zugriff auf jedes Werkzeug bietet. Enthält Skinner, Ausbeinmesser, Scaper, Säge, 2 Spreizer, Messerschärfer und Schutzhandschuhe. Gewicht 1100 g (Komplett Set).</t>
  </si>
  <si>
    <t>Linder Panda 6</t>
  </si>
  <si>
    <t>Linder Panda 6
Wie bei dem bekannten Bär beschränkt sich die Farbgebung dieses Messers auf die Farben schwarz und weiß. Und die Kombination dieser beiden Farben kann sich wahrhaftig "sehen lassen"! Klinge aus schwarz beschichtetem rostfreiem 420 Stahl, Griffbeschalung aus schwarz-weißem G-10.
Gürtelmesser. Klingenlänge 7,5 cm, Gesamtlänge 16,7 cm, Heftlänge 9,0 cm, Gewicht 68 g.</t>
  </si>
  <si>
    <t>02SC028</t>
  </si>
  <si>
    <t>Magnum Spike Karambit</t>
  </si>
  <si>
    <t>Beschreibung
Dieses ausgewachsene Karambit lässt keine Wünsche offen. Der 440A-Stahl der Fulltang-Konstruktion ist schwarz beschichtet. Der sandfarbene Griff aus G-10 liegt ausgezeichnet in der Hand. Der für Karambits charakteristische Ring am Griffende ist zusätzlich mit einem Dorn versehen, der die Funktionalität erhöht. Die Schlichtheit dieses Entwurfes macht die Faszination des Spike Karambit aus, ganz ohne unnötige Schnörkel. Auslieferung mit Kydexscheide und Gürteladapter.
Gewicht: 213,0 g
Verschluss: Feststehend
Artikeltyp: Fahrtenmesser
Klingenstärke: 4,7 mm
Griffmaterial: G-10
Klingenmaterial: 440A
Farbe: Braun
Gesamtlänge: 21,0 cm
Klingenlänge: 10,2 cm
Hersteller / Marke: Magnum</t>
  </si>
  <si>
    <t>01FX599</t>
  </si>
  <si>
    <t>Fox Small Folding Karambit</t>
  </si>
  <si>
    <t>Beschreibung
Das Karambit ist ein Arbeitsmesser, das seinen Ursprung auf dem Malaiischen Archipel hat und erstmals im 11. Jahrhundert mit dem Ring am Griffende dokumentiert wurde. Die sichelförmige Klinge kommt selbst heutzutage noch bei Fischermessern oder den sog. Gärtnerhippen zum Einsatz. Der Ring am Griffende erlaubt ein "freihändiges Arbeiten" mit dem Messer, ohne es dabei aus der Hand legen zu müssen und verringert die Verlustgefahr z.B. im maritimen Umfeld. Heute wird der Ring am Griffende jedoch eher sportlich genutzt, z.B. bei verschiedenen philippinischen Kampfsportarten wie dem Pencak Silat oder dem Philipino Kali, um das Messer am kleinen Finger rotieren zu lassen. Ernest Emerson war ein Vorreiter für die Renaissance dieses Messertyps. Von ihm stammt auch das Patent des sog. Emerson Wave, einem kleinen Haken am Klingenrücken, der es erlaubt, die Klinge beim Ziehen aus der Hosentasche gleichzeitig zu öffnen. Die Klinge wird aus N690CO gefertigt und schwarz beschichtet. Griffbeschalung aus rutschhemmenden G-10. Mit Linerlock Verriegelung und Clip.
Gewicht: 100,0 g
Klingenlänge: 6,5 cm
Gesamtlänge: 17,5 cm
Klingenmaterial: N690
Verschluss: Linerlock
Farbe: Schwarz
Griffmaterial: G-10
Klingenstärke: 3,0 mm
Hersteller / Marke: FKMD</t>
  </si>
  <si>
    <t>Messer Walther PPQ Knife</t>
  </si>
  <si>
    <t xml:space="preserve">Beschreibung
Bei den beiden neuen Messern aus der WALTHER-Serie standen die gleichnamigen Faustfeuerwaffen Pate, d.h. die Griffe haben eine ähnliche Riffelung.
Auch beim Stahl der 9,5 cm langen Klinge macht der Hersteller WALTHER keine Kompromisse: als Klingenmaterial verwendet man hier einen sehr schnitthaltigen 440er-Stahl (stainless).
Zum Sichern der Klinge dient der allseits beliebte Liner-Lock-Mechanismus. Mittels Daumenpin bzw. Flipper/Parierelement lässt sich das Messer spielend leicht öffnen.
Bei einem Gewicht von gerade einmal 140 g stört das Messer weder in der Hosentasche noch in dem im Lieferumfang enthaltenen Cordura-Etui. Klingenlänge: 95mm, Grifflänge: 125mm, Gesamtlänge: 220mm, Versandgewicht: 340g
</t>
  </si>
  <si>
    <t>CRKT</t>
  </si>
  <si>
    <t>110190DAM</t>
  </si>
  <si>
    <t>Tirpitz-Damast</t>
  </si>
  <si>
    <t>Ein Stück Geschichte wird lebendig: Die Tirpitz, Schwesterschiff der legendären Bismarck, war das größte Schlachtschiff, das jemals für die deutsche Marine vom Stapel lief. Nach Indienststellung im Februar 1941 wurde die Tirpitz während des Zweiten Weltkriegs schnell zum Schrecken der Alliierten Marineverbände im Nordatlantik. Legendär sind die zahlreichen Versuche, diesen waffenstarrenden Koloss außer Gefecht zu setzen. Nachdem die Tirpitz bereits im September 1944 durch schwere Fliegerangriffe der Royal Air Force stark beschädigt wurde, beschloss man, das Schiff als stationäre Batterie bei Tromsö vor der norwegischen Küste einzusetzen. Auch hier wurden wiederholt schwere Angriffe auf die Tirpitz geflogen, und am 12. November 1944 gelang es der Royal Air Force, durch den Einsatz spezieller "Tallboy-Bomben" die Tirpitz im seichten Wasser zum Kentern zu bringen. Direkt nach Ende des Krieges begann ein norwegisches Spezialunternehmen, das Schiff auszuschlachten, um den hoch legierten Stahl zivilen Zwecken zur Verfügung zu stellen. Die Wissenschaft war sehr interessiert am Tirpitz-Stahl, der in der Forschung und Entwicklung für Messtechnik und sogar der Raumfahrt zum Einsatz kam. Norwegische Taucher haben für Böker aus dem Fjord Teile der speziellen Panzerung der Tirpitz geborgen. Aus diesen Stücken lebendiger Geschichte schmiedet der Böker-Damastschmied exklusiv einen außergewöhnlichen Damast mit faszinierender Historie. Das Muster "Große Pyramide" in 300 Lagen zeichnet die mächtige Klinge aus handgeschmiedetem Damast-Stahl und macht das Messer zu einem Höhepunkt jeder Messersammlung. Die Kombination des Tirpitz-Stahls mit Kohlenstoff-Werkzeugstählen ergibt aber auch einen extrem beanspruchbaren Damast-Stahl, der mit einer Rockwellhärte von 61 bis 63 HRC im Alltagseinsatz jeder Aufgabe gewachsen ist. Der Griff aus hochfestem Aluminium AlMgSi1 (durch den Silizium-Anteil deutlich hochwertiger als das gewöhnliche AlMg3) ist hardcoat-anodisiert und lässt das Messer sicher und satt in der Hand liegen. Der umsetzbare Clip (Tip-up/Tip-down) ermöglicht das Tragen in der gewünschten Position. Als Material für die Griffeinlage haben wir heimisches Walnussholz gewählt, das aufgrund seiner überragenden Eigenschaften schon als Verwendung von Schaftholz bei Langwaffen eine lange Tradition hat. Inklusive original Tirpitz Wappen. Dieses Messer vereint auf einzigartige Weise Geschichte, Tradition und moderne Technik, vollständig von Hand gefertigt in der Böker Manufaktur in Solingen. Verriegelung: Linerlock 1,5 mm. Die Lieferung erfolgt in einer hochwertigen transparenten Rahmenschatulle mit Zertifikat und Seriennummer.</t>
  </si>
  <si>
    <t>MA22PRFBL6</t>
  </si>
  <si>
    <t>Accueil,Messer plus,Filetiermesser</t>
  </si>
  <si>
    <t>Rapala-Fishco</t>
  </si>
  <si>
    <t>Marttiini</t>
  </si>
  <si>
    <t>Sehr schönes und scharfes Messer. Das
braune Messer hat eine polierte Klinge, das
schwarze eine Klinge mit Teflon Beschichtet
Klingenlänge 15cm</t>
  </si>
  <si>
    <t>MA22PRFGL6</t>
  </si>
  <si>
    <t>01FX151T</t>
  </si>
  <si>
    <t>111621DAM</t>
  </si>
  <si>
    <t>Special Run Merlin Damast Meisterwerk</t>
  </si>
  <si>
    <t>Ein echtes Meisterwerk, und ein wahrer Leckerbissen für alle Liebhaber des exklusiven Materials Damast! Damastklingen haben bei Böker eine lange Tradition, und viele unserer Kunden schätzen die Vielfalt, die wir auch bei diesem Material bieten. Mit dem Merlin Damast Meisterwerk gehen wir noch einen Schritt weiter und bieten erstmals ein komplettes Taschenmesser, gefertigt aus geschmiedetem rostfreien Damast an. Chad Nichols aus Mississippi, USA, ist vor allem bekannt für die extrem hohe Qualität und die Rostfreiheit des von ihm geschmiedeten Damast-Stahls. So sind seine Klingen nicht nur eine Augenweide, sondern auch uneingeschränkt alltagstauglich. Um dem Merlin Damast Meisterwerk wirklich das Prädikat "100% Damast" verleihen zu können, haben wir keinen Aufwand gescheut, weshalb nicht nur Griffschalen und Klinge aus Damast gefertigt werden, sondern auch das Distanzstück im Griffrücken sowie der Sicherungsschieber der Klingenarretierung. So stellt das Merlin Damast Meisterwerk nach dem Design des Solinger Messermachers Wilfried Gorski einen weiteren Meilenstein in der Reihe der exklusiven Sammlermesser aus der Böker Messermanufaktur Solingen dar. Die Auslieferung erfolgt mit Echtheitszertifikat in einer hochwertigen und innovativen Geschenkverpackung. Das Messer wird in zwei streng limitierten Serien á 199 Stück gefertigt, einmal für Europa, einmal für die USA, mit jeweils entsprechend codierter Seriennummer. Gesamtlänge 17,5 cm. Klinge 7,2 cm. Stärke 2,6 mm. Gewicht 113 g.</t>
  </si>
  <si>
    <t>110129DAM</t>
  </si>
  <si>
    <t>Leopard-Damast III 42</t>
  </si>
  <si>
    <t>Beschreibung
Die 3. Generation. In purer Handarbeit wird der Kanonenrohrstahl mit einem Werkzeugstahl (Chrom-, Mangan- und Vanadium-legiert) und dem Wälzlagerstahl 1.3505 zu über 300 Lagen Damast verschmiedet. So entsteht eine Leopard-Damast-Klinge mit unvergleichlichen Schnitteigenschaften und einer Härte von 61- 63 HRC. Deutlich sind die drei unterschiedlichen Stähle in jeder Klinge zu erkennen. Der Griff aus CNC-gefrästem AlMgSi1-Aluminium ist olivgrau Hardcoat-anodisiert und steht im spannenden Kontrast zur dunklen Grenadillholz-Einlage. Ohne Flipper, mit Nagelhau. Mit umsetzbarem Clip. Auslieferung in einer edlen Holzschatulle mit Zertifikat. Ges. 22,5 cm. Kl. 9,7 cm. Stärke 3,5 mm. Gew. 156 g.</t>
  </si>
  <si>
    <t>01MB136</t>
  </si>
  <si>
    <t>Classic Hunter</t>
  </si>
  <si>
    <t>Ein traditionelles Jagdtaschenmesser par excellence. Alle drei Klingen aus 440er Stahl sind einzeln über den Lockback arretierbar, was ein unbeabsichtigtes Einklappen der Klinge ausschließt. Das Messer verfügt über eine Bowie-Klinge, einen Aufreisshaken und eine Holz- / Knochensäge. Die schöne Holzbeschalung im Kontrast zu den kühlen Edelstahlbacken runden das Erscheinungsbild ab. Ein vielseitiges Messer für die nächste Jagd-, Trekking oder normale Tagestour.
Gesamtlänge: 20,5 cm
Klingenlänge: 9,0 cm
Gewicht: 276 g
Klingenstärke: 3,0 mm
Klingenmaterial: 440A
Griffmaterial: Holz
Verschluss: Backlock</t>
  </si>
  <si>
    <t>OSK II Folder</t>
  </si>
  <si>
    <t>Beschreibung
Klingenlänge : 105mm
Grifflänge : 135mm
Gesamtlänge : 240mm
Gewicht : 250g</t>
  </si>
  <si>
    <t>09BO803</t>
  </si>
  <si>
    <t>Böker Plus FC-3</t>
  </si>
  <si>
    <t>Taschenlampe</t>
  </si>
  <si>
    <t>Die Taschenlampen von Böker Plus zeichnen sich durch die Eigenschaften aus, die die Böker Plus-Serie so erfolgreich macht: moderne Materialien, innovative Designs, hoher Nutzwert und ein sehr gutes Preis-Leistungsverhältnis. 
Das hartanodisierte Aluminiumgehäuse verfügt am Lampenende über einen Druckschalter für Moment- oder Dauerlicht. Alle Modelle verfügen mit ihrer Cree R5-LED über zwei Lichtstärken, die sich sehr einfach über eine halbe Drehung des Lampenkopfes (auch bei ausgeschalteter Lampe) anwählen lassen. Das griffige Checkering, der abnehmbare Clip und die einfache Bedienung machen jede Lampe zu einem vielseitigen und zuverlässigen Begleiter im Alltag, Outdoor oder auf der Jagd.
Die taktische Lampe dieser Baureihe, bestückt mit 2 Batterien Typ CR123. Durch den Reflektordurchmesser von 22 mm bietet die FC-3 eine besonders hohe Reichweite. Der abnehmbare Clip und der demontierbare Tactical-Ring machen die Lampe tauglich für Dienst und Alltag ebenso wie für Jagd und Outdoor. Zwei Lichtstärken (322/114 Lumen). Lieferung mit Handschlaufe, Ersatzdichtung und Ersatzschalterkappe. Wasserdicht nach IPX-6. Länge ca. 140 mm. Durchm. Korpus ca. 22 mm. Kopf ca. 32 mm. Gew. 118 g.
Gesamtlänge: 14,0 cm
Gewicht: 118 g
Griffmaterial: Aluminium
Lumen: 322/114
Stromversorgung: 2x Batt. CR123</t>
  </si>
  <si>
    <t>Damascus Quincewood</t>
  </si>
  <si>
    <t>Karambit</t>
  </si>
  <si>
    <t>Claw Gear</t>
  </si>
  <si>
    <t>Claw Gear Karambit
Leichtes Karambitmesser aus AUS-8 Stahl mit ergonomischem und rutschfestem Griffdesign
Klingenlänge: 90 mm
Grifflänge: 105 mm
Gesamtlänge: 195 mm
inkl. Scheide</t>
  </si>
  <si>
    <t>110239DAM</t>
  </si>
  <si>
    <t>Leopard-Damast III 42 Collection</t>
  </si>
  <si>
    <t>Leopard-Damast von Böker, der legendäre Klingenstahl, der die Messerszene weltweit begeistert. Die kunstvoll geschmiedeten Klingen aus dem Kanonenrohrstahl des Kampfpanzers Leopard sind wahre Schmuckstücke in jeder anspruchsvollen Messersammlung. Wir freuen uns, ein neues Kapitel für Sie aufschlagen zu dürfen. Das neue Böker Leopard Damast III Collection 42 ist nun erstmals mit einer reinen Zweihandbedienung ausgestattet. Es wird veredelt mit einer Einlage aus rostfreiem Damast-Stahl (180 Lagen, Rose), die kunstvoll von Hand in die Griffschalen eingepasst wird. Das Messer erhält eine völlig neue Ausstrahlung, da die pulvermetallurgisch hergestellte Damasteinlage hervorragend mit der handgeschmiedeten Damastklinge (300 Lagen) harmonieren. Ein Muss für den Kenner von Leopard-Damastmessern. Dieses Sammlermesser ist nummeriert und wird in einer edlen Holzschatulle mit Zertifikat ausgeliefert. Inkl. umschraubbarem Clip (Tip-up/Tip-down). Gesamtlänge 22,5 cm. Klinge 9,7 cm. Gewicht 165 g.</t>
  </si>
  <si>
    <t>02MB210</t>
  </si>
  <si>
    <t>Neck Flash</t>
  </si>
  <si>
    <t>Beschreibung
Neck Knives lassen sich einfach bequem im Alltag tragen und sind stets problemlos zu erreichen. Der skelettierte Griff der 440er Ganzstahlkonstruktion ist mit einem rutschfesten Gummiüberzug versehen. Die Scheide aus schlagfestem Kunststoff hält das Messer sicher mit dem Griff nach unten.
Gesamtlänge: 16,5 cm
Klingenlänge: 7,2 cm
Gewicht: 46 g
Klingenmaterial: 440A
Griffmaterial: Edelstahl
Verschluss: feststehend</t>
  </si>
  <si>
    <t>02LG113</t>
  </si>
  <si>
    <t>Lil Giant</t>
  </si>
  <si>
    <t>Kleines Messer mit großer Wirkung. Die kompakten Maße täuschen über die Vielseitigkeit, Funktionalität und Zuverlässigkeit hinweg. Die Klinge aus 440er Edelstahl hat ein dunkles Stonewash-Finish und läuft in voller Stärke durch den grünen G-10-Griff. Auslieferung mit Kydexscheide und Gürteladapter.
Gesamtlänge: 17,7 cm
Klingenlänge: 9,2 cm
Gewicht: 173 g
Klingenstärke: 3,7 mm
Klingenmaterial: 440A
Griffmaterial: G-10
Verschluss: feststehend</t>
  </si>
  <si>
    <t>02KAL10</t>
  </si>
  <si>
    <t>AK-10 Fixed Blade</t>
  </si>
  <si>
    <t>Stabiles, taktisches Einsatzmesser mit breitem Einsatzspektrum. Die Tantoklinge mit einer Stärke von 5 mm zeichnet sich durch ihre Stabilität aus. Die Aluminium-Griffbeschalung erinnert an das AK-Vorbild und bietet ausgezeichneten Grip und sichere Handhabung. Das doppelseitige Parierelement lässt sich vielseitig einsetzen und bietet zusätzlich eine geriffelte Daumenrampe. Ein ausdrucksstarkes Messer, das Anwender und Sammler gleichermaßen begeistert. Klingenstahl 440C. Mit hochwertiger Cordurascheide.
Gesamtlänge: 28,6 cm
Klingenlänge: 15,0 cm
Gewicht: 348 g
Klingenstärke: 5,0 mm
Klingenmaterial: 440C
Griffmaterial: Aluminium
Verschluss: feststehend</t>
  </si>
  <si>
    <t>09SR001</t>
  </si>
  <si>
    <t>Long Life 20</t>
  </si>
  <si>
    <t>Accueil,Messer plus,Messerschärfer</t>
  </si>
  <si>
    <t>Sieger</t>
  </si>
  <si>
    <t>Dieser Messerschärfer aus synthetischem Rubin ist 20 mal härter als gehärteter Stahl (20.000 Knoop entspricht ca. 200 HRC). Das ungewöhnliche an diesem Schärfer ist die hohe Effektivität (geringer Zeitaufwand beim Schärfen) in Kombination mit einem ungewöhnlich feinen Resultat, was sich vor allem an der hohen Standzeit der Schneide zeigt. Zudem ist der Schärfer langlebiger als z. B. Diamantschärfer, da es sich hier nicht um eine Beschichtung sondern um Vollmaterial handelt. Der Messerschärfer kann trocken oder nass verwendet werden. Nach Gebrauch einfach mit einem Spülschwamm reinigen. Schleifrohrlänge 20 cm.</t>
  </si>
  <si>
    <t>01MB790DAM</t>
  </si>
  <si>
    <t>Damascus Lord</t>
  </si>
  <si>
    <t>Klassisches Doppelbackenmesser mit Beschlägen aus poliertem Edelstahl. Als Griffmaterial kommt ausgesuchtes Wurzelholz zum Einsatz, das dem Messer eine warme und sehr hochwertige Optik verleiht. Lockback-Verriegelung. Ohne Hosen-Clip. Gesamtlänge 21,5 cm. Klinge 9,2 cm. Gewicht 130 g.</t>
  </si>
  <si>
    <t>02MU017</t>
  </si>
  <si>
    <t>Hirschfänger Chevreuil</t>
  </si>
  <si>
    <t>Messing-Parierelement, Griff aus Hirschkrone. Klingenstahl 4116, einschneidig.
Gesamtlänge: 35,1 cm
Klingenlänge: 21,5 cm
Gewicht: 265 g
Klingenstärke: 4,5 mm
Klingenmaterial: 4116
Griffmaterial: Hirschhorn
Verschluss: feststehend</t>
  </si>
  <si>
    <t>Karambit Neck Knife</t>
  </si>
  <si>
    <t>Karambit Messer mit Klinge im Stonewash-Finish aus 420 rostfreiem Stahl. Die aufgeschraubte Griffbeschalungen sind aus G10.
Mit Kydexscheide und Kugelkette aus Metall.
Klingenlänge 55 mm
Gesamtlänge 115 mm
Gewicht mit Scheide 70 g</t>
  </si>
  <si>
    <t>Blackfield Raptor</t>
  </si>
  <si>
    <t>Blackfield</t>
  </si>
  <si>
    <t>Das BlackField RAPTOR ist ein kräftiges Karambit Messer mit dem typischen Ring am Griffende, womit das Messer besonders sicher in der Hand liegt.
Komplett aus 440 rostfreiem Stahl im stonewash finish hergestellt. Als Griffbeschalung sind zwei G10 Schalen aufgeschraubt. Am Klingenrücken befindet sich zusätzlich ein scharfer, grober Wellenschliff.
Inklusive Kydexscheide mit Gürtelclip.
Klingenlänge 110 mm
Gesamtlänge 210 mm
Gewicht 275 g</t>
  </si>
  <si>
    <t>Spyderco</t>
  </si>
  <si>
    <t>02SC110</t>
  </si>
  <si>
    <t>Sierra Mike</t>
  </si>
  <si>
    <t>Ein echter Handschmeichler. Durch die leichte Struktur des G10-Schalenmaterials und den gewölbten Griffrücken liegt das Ypsilon fantastisch in der Hand. Die geschwungene 440er Klinge arretiert zuverlässig durch den Linerlock. Mit Fangriemenöse und Clip. Gesamtlänge 19 cm. Klinge 8 cm. Stärke 2,8 mm. Gewicht 122 g.</t>
  </si>
  <si>
    <t>02OE008</t>
  </si>
  <si>
    <t>Brush Demon</t>
  </si>
  <si>
    <t>Outdoor Edge</t>
  </si>
  <si>
    <t xml:space="preserve">Dieses imposante Messer wurde konzipiert von Custom Knifemaker Jerry Hossom und ist das bisher größte von Outdoor Edge gebaute. Die Klinge ist beeindruckende 34,3 cm lang und aus 65MN Kohlenstoffstahl gefertigt, und weder Dickicht, Unterholz, Gestrüpp noch dickere Äste stellen für das Brush Demon ein Hindernis dar. Die schwarze Pulverbeschichtung schützt die Klinge zuverlässig vor Korrosion. Der gummierte TPR-Griff liegt sicher und komfortabel in der Hand. Auslieferung mit einer hochwertigen Nylonscheide.
Gesamtlänge: 50,8 cm
Klingenlänge: 34,3 cm
Gewicht: 480 g
Klingenmaterial: 65MN
Griffmaterial: TPR
Designer: Jerry Hossom
Verschluss: feststehend
</t>
  </si>
  <si>
    <t>Sierra Tactial Rescue</t>
  </si>
  <si>
    <t>Dieses Rettungs- und Notfallkappmesser wurde speziell für den behördlichen Gebrauch konzipiert. Die geschwärzte N690Co-Klinge verfügt über einen extrem bissigen Wellenschliff, der mühelos Kernmantelseile kappen oder Textilien und Gurtzeug aufschneiden kann, um schnelle Erste Hilfe leisten zu können. Der Glasbrecher verschafft Ihnen schnellen Zugang zu einer verletzen Person in einem KFZ, und der Gurtschneider erleichtert die gefahrlose Bergung der verletzten Person. Die rutschhemmenden G-10 Schalen des ergonomischen Griffes liegen bei jeder Witterung sicher in der Hand. Per Fangriemenöse lässt sich das Messer an der Ausrüstung oder im Einsatz sichern. Mit Clip.
Gesamtlänge: 22,5 cm
Klingenlänge: 9,0 cm
Gewicht: 175 g
Klingenstärke: 4,0 mm
Klingenmaterial: N690
Griffmaterial: G-10
Verschluss: Linerlock</t>
  </si>
  <si>
    <t>USMC</t>
  </si>
  <si>
    <t>02UC5025</t>
  </si>
  <si>
    <t>Das Assault ist ein modern interpretierter Subhilt Fighter. Durch den konventionellen Klingenschliff läßt sich das Assault auch für den Outdoor-Einsatz bestens verwenden. Die Fulltang Konstruktion aus 7Cr17 Stahl bietet eine gute Stabilität und Schnitthaltigkeit. Der Handschutz besteht aus leichtgewichtigem Aluminium, und auch die Micartaschalen helfen, das Gewicht zu reduzieren, ohne die Funktionalität zu beeinträchtigen.
Gesamtlänge: 30,5 cm
Klingenlänge: 19,0 cm
Gewicht: 635 g
Klingenstärke: 5,0 mm
Klingenmaterial: 7Cr17MoV
Griffmaterial: Micarta
Designer: Gil Hibben
Verschluss: feststehend
EAN: 4045011083242</t>
  </si>
  <si>
    <t>02MU080</t>
  </si>
  <si>
    <t>Cazorla</t>
  </si>
  <si>
    <t>Beschreibung
In klassischer Ausprägung präsentiert sich das Cazorla, dessen sanft gerundeter Griff aus Pakkaholz ein echter Handschmeichler ist und am Ende über eine Fangriemenöse verfügt. Das Edelstahl-Parierelement gewährleistet sichere Handhabung, und die satinierte und hohlgeschliffene Klinge aus 4116 greift die traditionelle Bowieform auf. Lieferung mit Lederscheide.
Gesamtlänge: 28,0 cm
Klingenlänge: 16,0 cm
Gewicht: 188 g
Klingenstärke: 4,5 mm
Klingenmaterial: 4116
Griffmaterial: Pakkaholz
Verschluss: feststehend
EAN: 4045011120251</t>
  </si>
  <si>
    <t>02UC2786</t>
  </si>
  <si>
    <t>Honshu Kerambit</t>
  </si>
  <si>
    <t>Kein Messer für den universellen, alltäglichen Einsatz. Es kann selbstverständlich hervorragend für ziehende Schnitte genutzt werden, ähnlich einer Hippe oder einem Fischermesser. Das Honshu Kerambit entfaltet seine volle Einsatzmöglichkeit jedoch erst in den geschulten Händen eines Operators. Die Ganzstahlkonstruktion ist aus 7Cr13 gefertigt und besitzt einen aufgespritzten Kunststoffgriff. Inkl. hochwertiger, Stiefel-Clipscheide aus Leder.
Gesamtlänge: 22,5 cm
Klingenlänge: 10,0 cm
Gewicht: 156 g
Klingenstärke: 4,4 mm
Klingenmaterial: 7Cr13MoV
Griffmaterial: Kunststoff
Verschluss: feststehend
EAN: 4045011083303</t>
  </si>
  <si>
    <t>02MU006</t>
  </si>
  <si>
    <t>Mountain</t>
  </si>
  <si>
    <t>Beschreibung
Zamak-Griff mit Kraton-Überzug, Klinge aus Chromstahl rostfrei (I-42). Schwarze Scheide aus laminiertem Leder.
Gesamtlänge: 31,5 cm
Klingenlänge: 19,2 cm
Gewicht: 375 g
Klingenstärke: 4,5 mm
Klingenmaterial: I-42
Griffmaterial: Zamak
Verschluss: feststehend
EAN: 4045011073663</t>
  </si>
  <si>
    <t>Bowiemesser-Kombi</t>
  </si>
  <si>
    <t>Beschreibung
Bowiemesser-Kombi
Bowiemesser-Kombi mit Klingen aus rostfreiem 440 Stahl. Griffe vergoldet mit Pakkaholzschalen. Beide Messer in einer Lederscheide. Klingenlängen 21 cm bzw. 13 cm.</t>
  </si>
  <si>
    <t>CR2389</t>
  </si>
  <si>
    <t>Minimalist Keramin</t>
  </si>
  <si>
    <t>Die Minimalist Serie von Alan Folts begeistert bereits Tausende Fans. Nun kommt noch eine weitere, nützliche Klingenform dazu. Das Keramin, mit der Hawkbill-Klinge aus 5Cr15MoV, ist ideal für ziehende Schnitte oder für andere präzise Arbeiten. Die Spitze des Keramin ist nadelfein ausgeschliffen und somit NICHT für harte Arbeiten konzipiert. Der typische Minimalist-Griff aus Micarta lässt das kompakte Messer buchstäblich mit der Hand verschmelzen. Mit Kunststoffscheide. Ges. 12,1 cm. Kl. 5,8 cm. Stärke 3 mm. Gew. 48 g.</t>
  </si>
  <si>
    <t>CR2387</t>
  </si>
  <si>
    <t>Folts Minimalist Bowie</t>
  </si>
  <si>
    <t>Der Siegeszug des Minimalist von Alan Folts setzt sich nach der äußerst erfolgreichen Markteinführung des ersten Modells fort. Die zwei neuen Klingenformen (Klingenstahl 5Cr15MoV) bieten eine Alternative zur Wharncliffe-Klinge und erweitern das Einsatzspektrum dieses beliebten Neckknife beträchtlich. Die kräftige Tanto-Recurveklinge bietet höchste Effektivität bei ziehenden Schnitten, während die bis fast bis zur Klingenspitze durchgehende volle Materialstärke für außergewöhnliche Robustheit sorgt. Die klassische bauchige Bowieform ist geeignet für kleinere Arbeiten rund um Camp und Jagd. Natürlich wird auch der urbane Alltag durch die Vielseitigkeit dieser traditionellen Klingenform mit Leichtigkeit bewältigt. Kaum ein anderes Messer bietet bei derart kompakten Abmessungen und einem so geringen Gewicht dieses Maximum an Ergonomie. Die mitgelieferte Zytel-Scheide mit Tragekordel wird von Hand an das Messer angepasst. Ausführung mit Bowie-Klinge. Gesamtlänge 13 cm. Klinge 5,4 cm. Stärke 2,7 mm. Gewicht 45 g.</t>
  </si>
  <si>
    <t>02CR2385</t>
  </si>
  <si>
    <t>Minimalist</t>
  </si>
  <si>
    <t>Alan Folts ist der Messermacher, der hinter diesem exklusiven Entwurf steht. Die 5Cr15MoV Wharncliffe-Klinge ist sehr fein ausgeschliffen. Der kleine Dreifingergriff liegt trotz der minimalistischen Abmessungen erstaunlich gut in der Hand. Durch den Einsatz von Micarta und einem handgeknüpften Lanyard fühlt sich der Griff deutlich "größer" an. Die Zytel-Scheide ist als Neck-Scheide entworfen worden. Das Gewicht beträgt nur 31 g.
Klingenlänge 9,5 cm Designer: Alan Folts
Gesamtlänge: 12,7 cm
Klingenmaterial: 5Cr15MoV
Verschluss: Feststehend
Klingenstärke: 2,4 mm
Griffmaterial: Micarta
Hersteller / Marke: CRKT
Klingenlänge: 5,1 cm
Artikeltyp: Fahrtenmesser
Gewicht: 31,0 g
Farbe: Blau</t>
  </si>
  <si>
    <t>CST-97KMIGS</t>
  </si>
  <si>
    <t>Royal Kukri Machete mit Scheide</t>
  </si>
  <si>
    <t>Royal Kukri Machete mit Scheide
Ein gutes Kukri ist ein unerschütterlicher Partner in einer Notsituation und ein unentbehrliches Überlebensinstrument. Ein vielseitigeres Messer zu finden ist ein schwieriges Unterfangen.
Seit über zwei Jahrzenten erforscht Cold Steels Präsident Lynn C. Thompson das Potenzial des Kukri-Messers. Als er beschloss, ein neues Kukri zu entwerfen, ließ er sich von den vielen Stunden inspirieren, die er im Trainingscenter von Cold Steel verbracht hatte. Auf der Suche nach Möglichkeiten, das bereits nahezu perfekte Design zu verbessern, haben er und sein Team keine Mühe gescheut und unzählige Sparring-Stunden zugebracht, verschiedene Prototypen zu testen.
Lynn C. Thompson erkannte, dass viele der Eigenschaften, die ein großartiges Messer ausmachen, sich auch als ideal für ein großartiges Überlebenswerkzeug erweisen: Eine scharfe Klinge, eine solide Spitze, ein guter Handschutz und ein vielseitiger Griff sind allesamt Schlüsselbestandteile. Nachdem er das Kukri wieder auf das Wesentliche reduziert hatte, konnte er dann das Messer von Grund auf neu konzipieren.
Die neu gestaltete Klinge wird in einem völlig anderen Licht präsentiert: Von der Schneidkraft, die das Kukri zur Legende machte, hat sie zwar nichts eingebüßt, aber Stoßfähigkeit und Durchdringungskraft haben sich gesteigert. Der Griff mit eingebautem Parierelement schützt nicht nur die kostbaren Finger des Benutzers, sondern verleiht auch dem Messer eine erheblich andere Ausgewogenheit und Gewichtsverteilung. 
Das neu getaufte Royal Kukri wurde umfassend in der Praxis getestet. Es erwies sich als herausragendes multifunktionales Buschmesser, das für die härtesten Bushcraft-Arbeiten, von Feuerholz hacken bis verletztes Wild erlegen, geeignet ist. Als letzter Ausweg in einer kritischen Situation könnte es außerdem als Selbstverteidigungswaffe dienen.
Eine robuste Cor-Ex™ Scheide sorgt für den sicheren Schutz der vollgeschärften, mit einer rostbeständigen, mattschwarzen Einbrennlackierung beschichteten Klinge aus 1055er Karbonstahl. 
Details: 
- Klingenmaterial: 1055 Karbonstahl mit mattschwarzem, einbrennlackierten Korrosionsschutzfinish 
- Gesamtlänge: ca. 52,7 cm 
- Klingenlänge: ca. 39,4 cm 
- Klingenstärke: ca. 2,8 mm 
- Griff: ca. 13,3 cm lang, Polypropylen 
- Gewicht: ca. 600 g 
- Inkl. Cor-Ex™ Scheide 
- Herstellernr.: 97KMIGS 
Farbe: Blau
Gesamtlänge: 12,7 cm
Klingenmaterial: 5Cr15MoV
Verschluss: Feststehend
Klingenstärke: 2,4 mm
Griffmaterial: Micarta
Hersteller / Marke: CRKT
Klingenlänge: 5,1 cm
Artikeltyp: Fahrtenmesser
Gewicht: 31,0 g
Farbe: Blau</t>
  </si>
  <si>
    <t>01RU004</t>
  </si>
  <si>
    <t>Taschenmesser Rui Mohican III Pocket</t>
  </si>
  <si>
    <t>Rui</t>
  </si>
  <si>
    <t>Die kompakte, klappbare Version des Mohican III, mit einer einhändig zu bedienenden Klinge mit Linerlock-Verriegelung. Die mit einem detallierten Camo-Muster beschichteten Oberflächen verleihen dem Messer sein sehr eigenes Erscheinungsbild. Um das Messer unter widrigen Lichtverhältnissen leichter wiederzufinden, sind einige nachleuchtenden Punkte in den Griff eingelassen, die das Lokalisieren erleichtern sollen. Lieferung mit Nylonetui.Hersteller / Marke: Rui
Gesamtlänge: 17,4 cm
Klingenlänge: 7,6 cm
Verschluss: Linerlock
Klingenstärke: 2,9 mm
Gewicht: 106,0 g
Klingenmaterial: 7Cr17MoV
Farbe: Grün
Artikeltyp: Taschenmesser</t>
  </si>
  <si>
    <t>King Cutter White 5/8" Rundkopf</t>
  </si>
  <si>
    <t xml:space="preserve">Der King Cutter ist ein Klassiker im Böker-Programm und das perfekte Rasiermesser für den Alltag. Mit seiner praktischen 5/8 Zoll-Klinge ist er das ideale Messer für jeden Morgen. Einfach in der Handhabung und mit sehr gutem Rasurergebnis auch für den noch nicht so geübten Anwender. Die nicht rost freie Klinge ist aus bestem Solinger Rasiermesserstahl gefertigt und meistert mit dem traditionellen Hohlschliff die tägliche Rasur mit Bravour. Die Griffschalen bestehen aus feuchtigkeitsresistentem, weißen Kunststoff, dessen elfenbeinartige Optik ein exklusives Erscheinungsbild gewährleistet. Inklusive historischer Klingenätzung und authentischem Böker-Stempel im Klingengang. Komplett von Hand gefertigt in der Böker Messer-Manufaktur in Solingen. Auslieferung mit Echtheitszertifikat in historischer Verpackung.Böker Manufaktur Solingen
Artikeltyp: Rasiermesser
Farbe: Weiß
Klingenmaterial: Kohlenstoffstahl
Griffmaterial: Kunststoff
 </t>
  </si>
  <si>
    <t>Multi TacKnife Black</t>
  </si>
  <si>
    <t>Multi Tac steht für eine neue Generation von Multifunktionsmessern - eine Kombination von Tactical Messer und Tool. Die matt schwarz gehaltene Einhandklinge mit partiellem Wellenschliff hat eine Liner Lock-Verriegelung. Im Griff des Tactical Messers befindet sich das Multifunktionswerkzeug bestehend aus Flaschenöffner, Dosenöffner, Schraubendreher sowie einem ausschwenkbaren Bithalter.</t>
  </si>
  <si>
    <t>02MU002</t>
  </si>
  <si>
    <t>Venecia</t>
  </si>
  <si>
    <t>Pakkaholzbeschalung, Knauf und Parierelement vernickelt, mit dekorativen Ornamenten. Klinge Chromstahl rostfrei (I-42). Kunstlederscheide.Gewicht: 354,0 g
Klingenlänge: 17,3 cm
Klingenmaterial: I-42
Gesamtlänge: 30,1 cm
Farbe: Braun
Griffmaterial2: Holz
Klingenstärke: 4,5 mm
Artikeltyp: Fahrtenmesser
Hersteller / Marke: Muela
Verschluss: Feststehend
Griffmaterial: Pakkaholz</t>
  </si>
  <si>
    <t>02MAG2013</t>
  </si>
  <si>
    <t>Magnum by Böker Jahresmesser 2013</t>
  </si>
  <si>
    <t>Mit dem Magnum Collection 2013 bleibt Böker seiner Tradition großer Bowiemesser treu und präsentiert als diesjähriges Highlight das Modell Mamba von US Custom Knife Maker Scott McGhee aus North Carolina. Scott McGhee von der Guinea Hog Forge arbeitet seine Messer als Einzelstücke, bei dem kein Exemplar dem anderen gleicht.
Das American Guinea Hog ist eine Hausschweinrasse, deren Population 2005 auf nur noch 15 lebende Tiere geschrumpft war. Als Schweinezüchter hat sich Scott McGhee dem Erhalt dieser Rasse gewidmet und die Population mittlerweile wieder auf ca. 500 Tiere gebracht. Das American Guinea Hog hat im Gegensatz zum normalen Hausschwein eine viel höhere Widerstandskraft gegen Krankheiten, besitzt das deutlich hochwertigere, fettärmere Fleisch und gedeiht am besten bei Freilandhaltung mit Naturfutter. Die Lebensdauer bis zur Schlachtung ist ebenfalls deutlich länger als beim normalen Zuchtschwein, so dass das Guinea Hog inzwischen sogar in die Slow Food-Bewegung integriert worden ist.
Mit der gleichen Gründlichkeit und ohne jede Hektik geht Scott McGhee auch an die Konzeption und den Bau seiner Messer.
Das Modell Mamba als klassisch angehauchter Bowie-Fighter bietet mit der außergewöhnlichen Kontur seiner breiten Klinge und der abwärtsgeschwungenen Schneide nicht nur eine besondere Optik, sondern auch eine extrem hohe Effektivität bei Kapp- oder Zugschnitten, ohne aber auf der anderen Seite die Tauglichkeit bei anderen Anwendungen einzuschränken.
Der üppig dimensionierte Griff wird aus schwarzem Leinenmicarta gefertigt und bietet auch der erwachsenen Männerhand ausreichend Platz. Er läuft in einem breiten, schwalbenschwanzartigem Knauf aus, der auch bei dynamischerem Gebrauch des Messers einen extrem sicheren Halt in der Hand gewährleistet. Zwei Mosaikpins halten den Griff am Erl und setzen einen besonderen Akzent.
Die weit zurückgezogene, fast über die ganze Klingenlänge reichende Fehlschärfe verleiht der Linie zusätzliche Dynamik.</t>
  </si>
  <si>
    <t>Tanto Neck Knife</t>
  </si>
  <si>
    <t>Die Tantoklinge ist aus 420 rostfreiem Stahl gefertigt, schwarz beschichtet und geht voll bis zum Griffende durch.
In die Kydexscheide ist eine Signal-Pfeife eingearbeitet.
Klingenlänge 75 mm
Gesamtlänge 175 mm</t>
  </si>
  <si>
    <t>Neck Knife G10 Griff</t>
  </si>
  <si>
    <t>Die Klinge ist im Stonewashinish aus 420 rostfreiem Stahl und geht bis zum Griffende durch.
Die aufgenietete Griffbeschalung ist aus G10.
Die Kunststoffscheide hat eine Kugelkette aus Metall.
Klingenlänge 45 mm
Gesamtlänge 110 mm
Gewicht mit Scheide 90 g</t>
  </si>
  <si>
    <t>Original GLOCK Feldmesser schwarz mit Säge</t>
  </si>
  <si>
    <t>Glock</t>
  </si>
  <si>
    <t xml:space="preserve">Schwarze Ausführung.Modell FM-891 mit Säge am Klingenrücken.
Diese Messer wurden in Zusammenarbeit mit dem österreichischen Bundesheer für den Militäreinsatz entwickelt. Als wahres Multitalent läßt es sich zum Schneiden, Hacken, Graben, Hebeln, zum Öffnen von Dosen und sogar als Kapselheber verwenden. Die Klinge ist aus rostträgem Federstahl mit einer Härte von HRC55, die genaue Zusammensetzung ist allerdings ein gut gehütetes Betriebsgeheimnis. Als Reflektions- und Rostschutz ist die Klinge schwarz phosphatiert. Die Scheide und der Griff aus bewährtem Glock-Polymer sind nahezu unverwüstlich. In jeder Situation sicher gehalten wird das Messer mit einem simplen, aber wirkungsvollen Clipverschluss. Beim Ziehen des Messers wird dieser einfach mit dem Daumen entriegelt. 
Klingenlänge 165 mm
Gesamtlänge 290 mm
</t>
  </si>
  <si>
    <t xml:space="preserve">Original GLOCK Feldmesser schwarz </t>
  </si>
  <si>
    <t xml:space="preserve">Schwarze Ausführung.
Diese Messer wurden in Zusammenarbeit mit dem österreichischen Bundesheer für den Militäreinsatz entwickelt. Als wahres Multitalent lässt es sich zum Schneiden, Hacken, Graben, Hebeln, zum Öffnen von Dosen und sogar als Kapselheber verwenden. Die Klinge ist aus rostträgem Federstahl mit einer Härte von HRC55, die genaue Zusammensetzung ist allerdings ein gut gehütetes Betriebsgeheimnis. Als Reflektions- und Rostschutz ist die Klinge schwarz phosphatiert. Die Scheide und der Griff aus bewährtem Glock-Polymer sind nahezu unverwüstlich. In jeder Situation sicher gehalten wird das Messer mit einem simplen, aber wirkungsvollen Clipverschluss. Beim Ziehen des Messers wird dieser einfach mit dem Daumen entriegelt. 
Klingenlänge 165 mm
Gesamtlänge 290 mm
</t>
  </si>
  <si>
    <t>Original GLOCK Feldmesser grün mit Säge</t>
  </si>
  <si>
    <t xml:space="preserve">Grüne Ausführung.Modell FM-891 mit Säge am Klingenrücken.
Diese Messer wurden in Zusammenarbeit mit dem österreichischen Bundesheer für den Militäreinsatz entwickelt. Als wahres Multitalent läßt es sich zum Schneiden, Hacken, Graben, Hebeln, zum Öffnen von Dosen und sogar als Kapselheber verwenden. Die Klinge ist aus rostträgem Federstahl mit einer Härte von HRC55, die genaue Zusammensetzung ist allerdings ein gut gehütetes Betriebsgeheimnis. Als Reflektions- und Rostschutz ist die Klinge schwarz phosphatiert. Die Scheide und der Griff aus bewährtem Glock-Polymer sind nahezu unverwüstlich. In jeder Situation sicher gehalten wird das Messer mit einem simplen, aber wirkungsvollen Clipverschluss. Beim Ziehen des Messers wird dieser einfach mit dem Daumen entriegelt. 
Klingenlänge 165 mm
Gesamtlänge 290 mm
</t>
  </si>
  <si>
    <t>Original GLOCK Feldmesser sandfarben mit Säge</t>
  </si>
  <si>
    <t xml:space="preserve">Sandfarbene Ausführung.Modell FM-891 mit Säge am Klingenrücken.
Diese Messer wurden in Zusammenarbeit mit dem österreichischen Bundesheer für den Militäreinsatz entwickelt. Als wahres Multitalent läßt es sich zum Schneiden, Hacken, Graben, Hebeln, zum Öffnen von Dosen und sogar als Kapselheber verwenden. Die Klinge ist aus rostträgem Federstahl mit einer Härte von HRC55, die genaue Zusammensetzung ist allerdings ein gut gehütetes Betriebsgeheimnis. Als Reflektions- und Rostschutz ist die Klinge schwarz phosphatiert. Die Scheide und der Griff aus bewährtem Glock-Polymer sind nahezu unverwüstlich. In jeder Situation sicher gehalten wird das Messer mit einem simplen, aber wirkungsvollen Clipverschluss. Beim Ziehen des Messers wird dieser einfach mit dem Daumen entriegelt. 
Klingenlänge 165 mm
Gesamtlänge 290 mm
</t>
  </si>
  <si>
    <t>Eickhorn Pacific PORTHOLE</t>
  </si>
  <si>
    <t>Eickhorn Pacific PORTHOLE
Dieses ungewöhnliche Messer zeichnet sich durch besondere Optik und Funtkionalität aus. Greift der Zeigefinger durch das formschöne „Bullauge“ wird die Stabilität des Führens des Messers deutlich erhöht. 440A-Klinge und Griff titanbeschichtet, Frame-Lock-Arretierung. Mit Clip. Klinge 7,4 cm. Heftlänge 11,2 cm. Gesamtlänge 18,6 cm. Gewicht 134 g.</t>
  </si>
  <si>
    <t>Extreme Ops CK32C Karambit</t>
  </si>
  <si>
    <t>Sehr aggressiv im Design und in der Farbgebung. Dieses Messer von Smith &amp; Wesson liegt sehr angenehm in der Hand und ist mit einem Gürtelclip aus Edelstahl ausgestattet. Das praktische Fingerloch ist auch perfekt geeignet, um das Messer an einer Weste zu befestigen.</t>
  </si>
  <si>
    <t>Extreme Ops CK33 Karambit</t>
  </si>
  <si>
    <t>Epic Fixed Blade</t>
  </si>
  <si>
    <t>Gerber</t>
  </si>
  <si>
    <t>The Epic Fixed Blade is the everyday knive for everybody and is quite dynamic for a fixed blade. From the compact size and sturdy feel to the bottle opener and blunt tip, in any regard, the Epic is the perfect knife for any camper. The reversible pocket clip is designed for right or left carry. The locking sheath allows for tip up or tip down carry.</t>
  </si>
  <si>
    <t>SCHF46 Tanto Neck Knife</t>
  </si>
  <si>
    <t>Schrade</t>
  </si>
  <si>
    <t>Klingenlänge: 70 mm
Grifflänge: 80 mm
Gesamtlänge: 150 mm
Gewicht: 100 g</t>
  </si>
  <si>
    <t>EF102 Folder</t>
  </si>
  <si>
    <t>Elite Force</t>
  </si>
  <si>
    <t>Klingenlänge: 90 mm
Grifflänge: 120 mm
Gesamtlänge: 210 mm
Versandgewicht: 210 g</t>
  </si>
  <si>
    <t>Search &amp; Rescue CKSURTC Fixed Blade</t>
  </si>
  <si>
    <t>Klingenlänge: 150 mm
Grifflänge: 115 mm
Gesamtlänge: 265 mm
Gewicht: 350 g</t>
  </si>
  <si>
    <t>Search &amp; Rescue CKSURT Fixed Blade</t>
  </si>
  <si>
    <t>Klingenlänge: 150 mm
Grifflänge: 115 mm
Gesamtlänge: 265 mm
Gewicht: 200 g</t>
  </si>
  <si>
    <t>CRK910kkp</t>
  </si>
  <si>
    <t>CHANCEINHELL MACHETE</t>
  </si>
  <si>
    <t>Allzweck Machete mit schwarz beschichteter Klinge und Nylon Etui. Der Begleiter für Wald und Wiese.
Gesamtlänge: 454 mm
Gewicht: 597g
Griff: Kunststoff schwarz
Etui Nylon schwarz</t>
  </si>
  <si>
    <t>Bear Grylls Pocket Tool</t>
  </si>
  <si>
    <t>An updated classic, the Pocket Tool is a modern interpretation of the traditional, minimalistic multitool.The basic components - large fine-edgeblade, bottle opener, Phillips head driver, small and medium flat driver – are housed within a tough rubberized handle, guaranteeing perfect grip, with or without gloves on.</t>
  </si>
  <si>
    <t>Bear Grylls Survival Basic Kit</t>
  </si>
  <si>
    <t xml:space="preserve">Bear Grylls Survival Set Basic
Technische Daten
Gewicht 266 g
Höhe 130 mm
Typ Basic Kit Survival Set
Breite 110 mm
Farbe Orange
Highlights &amp; Details
Wasserdichte Tasche mit Reißverschluss
Mit Messer, Notsignal Pfeife, Feuerstarter uvm.
Inkl. Taschenführer Survival Grundlagen
Beschreibung
Praxistaugliches Outdoor-Survival Kit. Das Gerber Bear Grylls Basic Kit bietet nützliche Utensilien fürs Überleben draußen: leichte und wasserdichte Tasche mit Reißverschluss, Gerber Mini Paraframe Messer, Notsignal Pfeife, Feuerstarter, Wasserfeste Streichhölzer, Schlingendraht, Notfall Schnur, Baumwollball als Feueranzünder. Inklusive SOS Anweisungen für Boden-Luft Rettung und kleinem Taschenführer mit Survival Grundlagen von Bear Grylls.
Lieferumfang
Messer Paraframe
Tasche
Notsignal-Pfeife
Feuerstarter
Wasserfeste Streichhözer
Schlingendraht
Notfall Schnur
Baumwollball als Feueranzünder
SOS Anweisungen
Taschenführer Survival Grundlagen.
</t>
  </si>
  <si>
    <t>Karambit Defense Folder</t>
  </si>
  <si>
    <t>Klingenlänge: 60 mm
Grifflänge: 115 mm
Gesamtlänge: 175 mm
Gewicht: 180 g</t>
  </si>
  <si>
    <t>Neck Knife</t>
  </si>
  <si>
    <t>Leichtes Neck Knife aus AUS-8 Stahl mit ergonomischem und rutschfestem GriffdesignStahl: AUS-8
Gewicht Messer: 77 g
Gewicht Scheide: 50 g
Klingenlänge: 90 mm
Grifflänge: 115 mm
Gesamtlänge: 205 mm</t>
  </si>
  <si>
    <t>09SR002</t>
  </si>
  <si>
    <t>Long Life 28</t>
  </si>
  <si>
    <t>Die große Version unseres beliebten Rubinschärfers. Extrem feine Körnung, dennoch sehr effektiv und schnell. Länge Schleifrohr 28 cm, Durchmesser Schleifrohr 13 mm. Für Gastronomie und anspruchsvolle Anwender.</t>
  </si>
  <si>
    <t>Mini-Taschenmesser</t>
  </si>
  <si>
    <t>Die Griffbeschalungen sind aus Perlmutt und Abalone mit Anhänger. Die Klinge ist aus rostfreiem Stahl, nicht feststellbar.
Klingenlänge 30 mm. Preis pro Stk. nicht im Set.</t>
  </si>
  <si>
    <t>Filetiermesser Griff orange/camo</t>
  </si>
  <si>
    <t>Dieses Filetiermesser ist perfekt für den Outdoor- und Jagdeinsatz konzipiert.
Durch die trendige Farbgebung des Griffes in orange-camo ist es im Gelände jederzeit auch bei schlechten Lichtverhältnissen zu erkennen.
Die flexible Klinge ist aus 420 rostfreiem Stahl und schwarz beschichtet. Die Griffbeschalung ist aus Kunststoff.
Mit Nylonscheide.
Klingenlänge 175 mm
Gesamtlänge 300 mm</t>
  </si>
  <si>
    <t>01YA109</t>
  </si>
  <si>
    <t>Grace I</t>
  </si>
  <si>
    <t>Ein Schmuckstück für die Hosentasche im Top-Preis-Leistungs-Verhältnis. Die dunklen Palisanderholzschalen ergänzen sich hervorragend mit den dekorativ geätzten Backen. Der Lock Back-Verschluss hält die Klinge aus 440 rostfrei sicher geöffnet.Gewicht: 121,0 g
Griffmaterial: Palisanderholz
Gesamtlänge: 21,0 cm
Hersteller / Marke: Magnum
Artikeltyp: Taschenmesser
Klingenmaterial: 440A
Verschluss: Backlock
Klingenlänge: 9,0 cm</t>
  </si>
  <si>
    <t>02US012</t>
  </si>
  <si>
    <t>US Marines Stealth</t>
  </si>
  <si>
    <t>Dieses kleine und kompakte Messer bietet ungeahnte Fähigkeiten. Als Alltagsmesser, als Backup oder einfach nur als kleines Fahrten- oder Arbeitsmesser. Die Klinge aus 440-C ist schwarz beschichtet. Die Kydexscheide ist kompatibel zum Tek-Lok (nicht im Lieferumfang enthalten) und bietet diverse Trageoptionen.Hersteller / Marke: USMC
Verschluss: Feststehend
Artikeltyp: Fahrtenmesser
Klingenmaterial: 440C
Gewicht: 150,0 g
Klingenlänge: 7,0 cm
Gesamtlänge: 17,8 cm
Klingenstärke: 4,0 mm</t>
  </si>
  <si>
    <t>SCH110 Karambit Folder</t>
  </si>
  <si>
    <t>Klingenlänge: 75 mm
Grifflänge: 150 mm
Gesamtlänge: 225 mm
Gewicht: 180 g</t>
  </si>
  <si>
    <t>CST-26SP</t>
  </si>
  <si>
    <t>Taschenmesser Ti-Lite, 4-Zoll-Klinge, Edelstahl, Zy-Ex-Griff</t>
  </si>
  <si>
    <t xml:space="preserve">Taschenmesser Ti-Lite, 4-Zoll-Klinge aus japanischem Edelstahl AUS 8A, Griff aus Zy-Ex™
Klappmesser in maßgefertigter Qualität sind zweifellos stabil, leicht und schön anzusehen, aber auch recht kostspielig.
Da viele den Look der Ti-Lites® zwar lieben, aber deren Preis etwas zu hoch finden, hat Cold Steel sehr erschwingliche Alternativen entwickelt. 
Die Zy-Ex™ Ti-Lites® sehen fast genauso aus wie ihre teureren Pendants, aber bei der Herstellung dieser Modelle wurde für die Griffschalen glasverstärktes Zy-Ex™ anstatt 7075er Aluminium und für die Klingen japanischer AUS 8A Stahl anstelle von amerikanischem XHP Stahl verwendet. 
Das Ergebnis sind außergewöhnlich leichte Messer, die unglaublich stabil, scharf, gut aussehend und für so gut wie jeden Geldbeutel erschwinglich sind.
Details: 
- Ti-Lite, 4-Zoll-Klinge, Zy-Ex™ Griff 
- Klingenmaterial: Japanischer Edelstahl AUS 8A
- Gesamtlänge: ca. 22,2 cm 
- Klingenlänge: ca. 10,2 cm (4 Zoll) 
- Klingenstärke: ca. 3 mm 
- Griff: ca. 12 cm lang, aus Zy-Ex™ 
- Mit Taschen- bzw. Gürtelclip aus rostfreiem Stahl 
- Gewicht: ca. 113 g </t>
  </si>
  <si>
    <t>PohlForce</t>
  </si>
  <si>
    <t xml:space="preserve">BlackField Carrier F22 </t>
  </si>
  <si>
    <t>Survivalmesser mit beschichteter Klinge aus 1070-High-Carbon Stahl (nicht rostfrei). Im aufschraubbaren Hohlgriff aus Metall sind diverse Bits eingelegt. 
Die Nylonscheide hat einen Kunststoffköcher zur Aufnahme der Klinge, sowie eine Vortasche.
Klingenlänge 145 mm
Gesamtlänge 270 mm</t>
  </si>
  <si>
    <t xml:space="preserve">BlackField Carrier F35 </t>
  </si>
  <si>
    <t>Survivalmesser mit beschichteter Klinge aus 1070-High-Carbon Stahl (nicht rostfrei). Im aufschraubbaren Hohlgriff aus Metall sind diverse Bits eingelegt. 
Die Nylonscheide hat einen Kunststoffköcher zur Aufnahme der Klinge, sowie eine Vortasche.
Klingenlänge 190 mm
Gesamtlänge 320 mm</t>
  </si>
  <si>
    <t>Survivalmesser schwarz</t>
  </si>
  <si>
    <t>Ein kräftiges Survivalmesser mit Bajonett-Verschluss am Griffende. Die schwarz beschichtete Klinge ist aus 420 rostfreiem Stahl, der Griff ist aus Metall mit Kunststoffüberzug gefertigt.
Die kräftige Kunststoffscheide hat eine abnehmbare Vortasche aus Nylon, einen Drahtschneider und bietet verschiedene Tragemöglichkeiten.
Klingelänge 190 mm
Gesamtlänge 320 mm</t>
  </si>
  <si>
    <t>Survivalmesser sand/camo</t>
  </si>
  <si>
    <t>Ein kräftiges Survivalmesser mit Bajonett-Verschluss am Griffende. Die sand/camo beschichtete Klinge ist aus 420 rostfreiem Stahl, der Griff ist aus Metall mit Kunststoffüberzug gefertigt.
Die kräftige Kunststoffscheide hat eine abnehmbare Vortasche aus Nylon, einen Drahtschneider und bietet verschiedene Tragemöglichkeiten.
Klingelänge 190 mm
Gesamtlänge 320 mm</t>
  </si>
  <si>
    <t>Eickhorn Pacific RESCUE TANTO 1</t>
  </si>
  <si>
    <t>Gestrahlte Klinge aus 440A, rostfrei. Griff aus gestrahltem Edelstahl mit schwarzen G-10 Einlagen. Gurtschneider und Glasbrecher sind in den Griff integriert. Klinge 8,3 cm. Heftlänge 12,3 cm. Gesamtlänge 20,6 cm. Gewicht 182 g.
Unter dem neuen Markennamen „Eickhorn Pacific“ präsentiert Eickhorn Solingen Ltd. erstmals ein fremdgefertigtes Sortiment. Den Anfang machen zehn Rettungsmesser und zwei Gürtelmesser. Bei Würdigung der recht niedrigen Preise hat Eickhorn die Messlatte wirklich hoch gelegt: die Qualität von Verarbeitung und Material ist wirklich erstklassig. Alle Messer sind fortlaufend nummeriert, nach Abverkauf wird nicht nachproduziert. Die komplette Eickhorn Pacific-Serie wird von Linder als Exklusiv-Distributeur angeboten.</t>
  </si>
  <si>
    <t>USMC Fighting Knife</t>
  </si>
  <si>
    <t>KA-BAR</t>
  </si>
  <si>
    <t>Mit diesem Messer erhielt KA-BAR, USA, in der Zeit des 2.Weltkrieges einen legendären Ruhm. Es war eines der meist eingesetzten Militärmesser bis in die Zeit des Koreakrieges.
Seine Stabilität durch die Vollangelklinge, seinen rutschfesten Griffaus dem Naturprodukt Leder , seine kräftige Klinge in der Form der legendären Bowieklinge und natürlich seine hochwertige und gleichbleibende Carbon-Stahlqualität 1095 machen das Ka-Bar-Kampfmesser  zu einem Klassiker.
Die Klinge des aus dem Hause Ka-Bar stammenden Kampfmessers ist aus hochwertigem 1095 Carbon Stahl (nicht rostfrei) und schwarz brüniert.
Der Griff ist aus Kraton G. Die Parierstange und das Griffende sind ebenfalls aus Carbon Stahl.
Wird inklusive einer Scheide aus Leder mit USMC-Logo geliefert.
Made in U.S.A.Technische Daten
Gewicht 308 g.
Material 1095 Cro-Van
Rockwellhärte 56-58 HRC
Grifflänge 12,69 cm
Klingenlänge 17,78 cm
Gesamtlänge 30,47 cm</t>
  </si>
  <si>
    <t>1CB018</t>
  </si>
  <si>
    <t>Deejo Tattoo Biker Taschenmesser 37 g Grenadillholz</t>
  </si>
  <si>
    <t>naturzone</t>
  </si>
  <si>
    <t>Deejo</t>
  </si>
  <si>
    <t>Ultra Leichtgewichtsmesser (37 g)
Klinge aus rostfreiem AISI 420-Stahl mit "Biker" Laser Gravierung. 
Liner lock. Gurtclip. Griff mit Schalen aus dunklem Grenadillholz. 
Das Messer wird in einer innovativen Deejo-Box geliefert.
Gewicht: 37 gr
Länge geschlossen: 11 cm
Länge offen: 20,5 cm
Klinge :  9,5 cm
Stärke: 0,9 cm</t>
  </si>
  <si>
    <t>1CB021</t>
  </si>
  <si>
    <t>Deejo Tattoo Lattino Skull Taschenmesser 37 g Grenadillholz</t>
  </si>
  <si>
    <t>Ultra Leichtgewichtsmesser (37 g)
Klinge aus rostfreiem AISI 420-Stahl mit "Totenkopf" Laser Gravierung. 
Liner lock. Gurtclip. Griff mit Schalen aus dunklem Grenadillholz. 
Das Messer wird in einer innovativen Deejo-Box geliefert.
Gewicht: 37 gr
Länge geschlossen: 11 cm
Länge offen: 20,5 cm
Klinge :  9,5 cm
Stärke: 0,9 cm</t>
  </si>
  <si>
    <t>1CB036</t>
  </si>
  <si>
    <t>Deejo Tattoo Fischenmucke Taschenmesser 37 g Grenadillholz</t>
  </si>
  <si>
    <t>Ultra Leichtgewichtsmesser (37 g)
Klinge aus rostfreiem AISI 420-Stahl mit "Fischenmucke" Laser Gravierung. 
Liner lock. Gurtclip. Griff mit Schalen aus dunklem Grenadillholz. 
Das Messer wird in einer innovativen Deejo-Box geliefert.
Gewicht: 37 gr
Länge geschlossen: 11 cm
Länge offen: 20,5 cm
Klinge :  9,5 cm
Stärke: 0,9 cm</t>
  </si>
  <si>
    <t>1CB038</t>
  </si>
  <si>
    <t>Deejo Tattoo Fasan Taschenmesser 37 g Wacholderholz</t>
  </si>
  <si>
    <t>Ultra Leichtgewichtsmesser (37 g)
Klinge aus rostfreiem AISI 420-Stahl mit "Fasan" Laser Gravierung. 
Liner lock. Gurtclip. Griff mit Schalen aus Wachholderholz. 
Das Messer wird in einer innovativen Deejo-Box geliefert.
Gewicht: 37 gr
Länge geschlossen: 11 cm
Länge offen: 20,5 cm
Klinge :  9,5 cm
Stärke: 0,9 cm</t>
  </si>
  <si>
    <t>1GB108</t>
  </si>
  <si>
    <t>Deejo Tattoo Adler Taschenmesser 37 g Wacholderholz</t>
  </si>
  <si>
    <t>Ultra Leichtgewichtes Taschenmesser (37 g)
Klinge aus rostfreiem AISI 420-Stahl mit einer Adler Laser Gravierung. 
Liner lock. Gurtclip.
Griff mit Schalen aus Wacholderholz. 
Das Messer wird in einer innovativen Deejo-Box geliefert.
Länge geschlossen: 11 cm
Länge offen: 20,5 cm
Klinge :  9,5 cm
Stärke: 0,9 cm</t>
  </si>
  <si>
    <t>1GB109</t>
  </si>
  <si>
    <t>Deejo Tattoo Angels Taschenmesser 37 g Grenadillholz</t>
  </si>
  <si>
    <t>Ultra Leichtgewichtes Taschenmesser (37 g)
Klinge aus rostfreiem AISI 420-Stahl mit einer Angels Laser Gravierung. 
Liner lock. Gurtclip.
Griff mit Schalen aus Grenadillholz. 
Das Messer wird in einer innovativen Deejo-Box geliefert.
Länge geschlossen: 11 cm
Länge offen: 20,5 cm
Klinge :  9,5 cm
Stärke: 0,9 cm</t>
  </si>
  <si>
    <t>1GB106</t>
  </si>
  <si>
    <t>Deejo Tattoo Latino Skull Taschenmesser 37 g Grenadillholz</t>
  </si>
  <si>
    <t>Ultra Leichtgewichtes Taschenmesser (37 g)
Klinge aus rostfreiem AISI 420-Stahl mit einer Latino Skull Laser Gravierung. 
Liner lock. Gurtclip.
Griff mit Schalen aus Grenadillholz. 
Das Messer wird in einer innovativen Deejo-Box geliefert.
Länge geschlossen: 11 cm
Länge offen: 20,5 cm
Klinge :  9,5 cm
Stärke: 0,9 cm</t>
  </si>
  <si>
    <t>1GB121</t>
  </si>
  <si>
    <t>Deejo Tattoo Forelle Taschenmesser 37 g Wacholderholz</t>
  </si>
  <si>
    <t>Ultra Leichtgewichtes Taschenmesser (37 g)
Klinge aus rostfreiem AISI 420-Stahl mit einer Forelle Laser Gravierung. 
Liner lock. Gurtclip.
Griff mit Schalen aus Wachholderholz. 
Das Messer wird in einer innovativen Deejo-Box geliefert.
Länge geschlossen: 11 cm
Länge offen: 20,5 cm
Klinge :  9,5 cm
Stärke: 0,9 cm</t>
  </si>
  <si>
    <t>1GB123</t>
  </si>
  <si>
    <t>Deejo Tattoo Hirsch Taschenmesser 37 g Grenadillholz</t>
  </si>
  <si>
    <t>Ultra Leichtgewichtes Taschenmesser (37 g)
Klinge aus rostfreiem AISI 420-Stahl mit einer Hirsch Laser Gravierung. 
Liner lock. Gurtclip.
Griff mit Schalen aus Grenadillholz. 
Das Messer wird in einer innovativen Deejo-Box geliefert.
Länge geschlossen: 11 cm
Länge offen: 20,5 cm
Klinge :  9,5 cm
Stärke: 0,9 cm</t>
  </si>
  <si>
    <t>1GC001</t>
  </si>
  <si>
    <t>Deejo Taschenmesser black 37 g Carbon</t>
  </si>
  <si>
    <t>Ultra Leichtgewichtes Taschenmesser (37 g)
Klinge aus rostfreiem AISI 420-Stahl Black. 
Liner lock. Gurtclip.
Griff mit Schalen aus Carbon. 
Das Messer wird in einer innovativen Deejo-Box geliefert.
Länge geschlossen: 11 cm
Länge offen: 20,5 cm
Klinge :  9,5 cm
Stärke: 0,9 cm</t>
  </si>
  <si>
    <t>1CC001</t>
  </si>
  <si>
    <t>Deejo Taschenmesser hell 37 g Carbon</t>
  </si>
  <si>
    <t>Ultra Leichtgewichtes Taschenmesser (37 g)
Klinge aus rostfreiem AISI 420-Stahl . 
Liner lock. Gurtclip.
Griff mit Schalen aus Carbon. 
Das Messer wird in einer innovativen Deejo-Box geliefert.
Länge geschlossen: 11 cm
Länge offen: 20,5 cm
Klinge :  9,5 cm
Stärke: 0,9 cm</t>
  </si>
  <si>
    <t>1CB023</t>
  </si>
  <si>
    <t>Deejo Tattoo Vroom Taschenmesser 37 g Rosenholz</t>
  </si>
  <si>
    <t>Ultra Leichtgewichtsmesser (37 g)
Klinge aus rostfreiem AISI 420-Stahl mit "Vroom" Laser Gravierung. 
Liner lock. Gurtclip. Griff mit Schalen aus Rosenholz. 
Das Messer wird in einer innovativen Deejo-Box geliefert.
Gewicht: 37 gr
Länge geschlossen: 11 cm
Länge offen: 20,5 cm
Klinge :  9,5 cm
Stärke: 0,9 cm</t>
  </si>
  <si>
    <t>1CB024</t>
  </si>
  <si>
    <t>Deejo Tattoo Winter Taschenmesser 37 g Rot</t>
  </si>
  <si>
    <t>Ultra Leichtgewichtsmesser (37 g)
Klinge aus rostfreiem AISI 420-Stahl mit "Winter" Laser Gravierung. 
Liner lock. Gurtclip. Griff mit Schalen aus Rotem Kunststoff. 
Das Messer wird in einer innovativen Deejo-Box geliefert.
Gewicht: 37 gr
Länge geschlossen: 11 cm
Länge offen: 20,5 cm
Klinge :  9,5 cm
Stärke: 0,9 cm</t>
  </si>
  <si>
    <t>1CB025</t>
  </si>
  <si>
    <t>Deejo Tattoo Spray Taschenmesser 37 g Blau</t>
  </si>
  <si>
    <t>Ultra Leichtgewichtsmesser (37 g)
Klinge aus rostfreiem AISI 420-Stahl mit "Spray" Laser Gravierung. 
Liner lock. Gurtclip. Griff mit Schalen aus Blauem Kunststoff. 
Das Messer wird in einer innovativen Deejo-Box geliefert.
Gewicht: 37 gr
Länge geschlossen: 11 cm
Länge offen: 20,5 cm
Klinge :  9,5 cm
Stärke: 0,9 cm</t>
  </si>
  <si>
    <t>1CB026</t>
  </si>
  <si>
    <t>Deejo Tattoo Succubus Taschenmesser 37 g Grenadillholz</t>
  </si>
  <si>
    <t>Ultra Leichtgewichtsmesser (37 g)
Klinge aus rostfreiem AISI 420-Stahl mit "Succubus" Laser Gravierung. 
Liner lock. Gurtclip. Griff mit Schalen aus Grenadillholz. 
Das Messer wird in einer innovativen Deejo-Box geliefert.
Gewicht: 37 gr
Länge geschlossen: 11 cm
Länge offen: 20,5 cm
Klinge :  9,5 cm
Stärke: 0,9 cm</t>
  </si>
  <si>
    <t>1CB027</t>
  </si>
  <si>
    <t>Deejo Tattoo Elf Taschenmesser 37 g Rosenholz</t>
  </si>
  <si>
    <t>Ultra Leichtgewichtsmesser (37 g)
Klinge aus rostfreiem AISI 420-Stahl mit "Elfe" Laser Gravierung. 
Liner lock. Gurtclip. Griff mit Schalen aus Rosenholz. 
Das Messer wird in einer innovativen Deejo-Box geliefert.
Gewicht: 37 gr
Länge geschlossen: 11 cm
Länge offen: 20,5 cm
Klinge :  9,5 cm
Stärke: 0,9 cm</t>
  </si>
  <si>
    <t>1CB037</t>
  </si>
  <si>
    <t>Deejo Tattoo Hunting Day Taschenmesser 37 g Rosenholz</t>
  </si>
  <si>
    <t>Ultra Leichtgewichtsmesser (37 g)
Klinge aus rostfreiem AISI 420-Stahl mit "Hunting Day" Laser Gravierung. 
Liner lock. Gurtclip. Griff mit Schalen aus Rosenholz. 
Das Messer wird in einer innovativen Deejo-Box geliefert.
Gewicht: 37 gr
Länge geschlossen: 11 cm
Länge offen: 20,5 cm
Klinge :  9,5 cm
Stärke: 0,9 cm</t>
  </si>
  <si>
    <t>1GB110</t>
  </si>
  <si>
    <t>Deejo Tattoo Skate Taschenmesser 37 g Orange</t>
  </si>
  <si>
    <t>Ultra Leichtgewichtsmesser (37 g)
Klinge aus rostfreiem AISI 420-Stahl mit "Scate" Laser Gravierung. 
Liner lock. Gurtclip. Griff mit Schalen aus Orangem Kunststoff. 
Das Messer wird in einer innovativen Deejo-Box geliefert.
Gewicht: 37 gr
Länge geschlossen: 11 cm
Länge offen: 20,5 cm
Klinge :  9,5 cm
Stärke: 0,9 cm</t>
  </si>
  <si>
    <t>1GB111</t>
  </si>
  <si>
    <t>Deejo Tattoo Zombie Taschenmesser 37 g Gelb</t>
  </si>
  <si>
    <t>Ultra Leichtgewichtsmesser (37 g)
Klinge aus rostfreiem AISI 420-Stahl mit "Zombie" Laser Gravierung. 
Liner lock. Gurtclip. Griff mit Schalen aus Gelbem Kunststoff. 
Das Messer wird in einer innovativen Deejo-Box geliefert.
Gewicht: 37 gr
Länge geschlossen: 11 cm
Länge offen: 20,5 cm
Klinge :  9,5 cm
Stärke: 0,9 cm</t>
  </si>
  <si>
    <t>1GB112</t>
  </si>
  <si>
    <t>Deejo Tattoo Peace Taschenmesser 37 g Grün</t>
  </si>
  <si>
    <t>Ultra Leichtgewichtsmesser (37 g)
Klinge aus rostfreiem AISI 420-Stahl mit "Peace" Laser Gravierung. 
Liner lock. Gurtclip. Griff mit Schalen aus Grünem Kunststoff. 
Das Messer wird in einer innovativen Deejo-Box geliefert.
Gewicht: 37 gr
Länge geschlossen: 11 cm
Länge offen: 20,5 cm
Klinge :  9,5 cm
Stärke: 0,9 cm</t>
  </si>
  <si>
    <t>1GB113</t>
  </si>
  <si>
    <t>Deejo Tattoo Esoteric Taschenmesser 37 g Wacholderholz</t>
  </si>
  <si>
    <t>Ultra Leichtgewichtes Taschenmesser (37 g)
Klinge aus rostfreiem AISI 420-Stahl mit einer Esoteric Laser Gravierung. 
Liner lock. Gurtclip.
Griff mit Schalen aus Wachholderholz. 
Das Messer wird in einer innovativen Deejo-Box geliefert.
Länge geschlossen: 11 cm
Länge offen: 20,5 cm
Klinge :  9,5 cm
Stärke: 0,9 cm</t>
  </si>
  <si>
    <t>1GB122</t>
  </si>
  <si>
    <t>Deejo Tattoo the Flight Taschenmesser 37 g Rosenholz</t>
  </si>
  <si>
    <t>Ultra Leichtgewichtsmesser (37 g)
Klinge aus rostfreiem AISI 420-Stahl mit "The Flight" Laser Gravierung. 
Liner lock. Gurtclip. Griff mit Schalen aus Rosenholz. 
Das Messer wird in einer innovativen Deejo-Box geliefert.
Gewicht: 37 gr
Länge geschlossen: 11 cm
Länge offen: 20,5 cm
Klinge :  9,5 cm
Stärke: 0,9 cm</t>
  </si>
  <si>
    <t>1GB002</t>
  </si>
  <si>
    <t>Deejo black 37g Juniper Wood</t>
  </si>
  <si>
    <t xml:space="preserve">Deejo Leichtgewichtsmesser Black - Taschenmesser mit schwarzer Titanbeschichtung von deejo
Deejo Black - Taschenmesser
Mit Deejo BLACK erweitert Deejo seine erfolgreiche Kollektion an Leichtgewichtstaschenmessern erneut um eine Serie. 
Die nur 37 Gramm leichten Messer erhalten durch die schwarze Titan-Beschichtung der Klinge aus AISI 420-Stahl einen edlen Charakter und wirken zusammen mit schönen Holzbeschalungen besonders elegant. Per Liner-Lock wird die 9,5 cm lange Klinge sicher arretiert. 
Die Messer werden mit einem Gürtelclip sowie einem Mikrofaser-Etui in der innovativen Deejo-Box geliefert.  Gewicht: 37 g
Heftlänge: 11.0 cm
Klingenlänge: 9.5 cm
Länge geöffnet: 20.5 cm
Klingenmaterial:
AISI420 
Griffmaterial : Wachholderholz (hellbraun)
</t>
  </si>
  <si>
    <t>Deejo black 37g Juniper Wood,Accueil,Messer plus,Klappmesser,naturzone,Deejo</t>
  </si>
  <si>
    <t>http://usfh.ch/img/Messer/1GB002.jpg</t>
  </si>
  <si>
    <t>1GB004</t>
  </si>
  <si>
    <t>Deejo black 37g Granadilla Wood</t>
  </si>
  <si>
    <t xml:space="preserve">Deejo Leichtgewichtsmesser Black - Taschenmesser mit schwarzer Titanbeschichtung von deejo
Deejo Black - Taschenmesser
Mit Deejo BLACK erweitert Deejo seine erfolgreiche Kollektion an Leichtgewichtstaschenmessern erneut um eine Serie. 
Die nur 37 Gramm leichten Messer erhalten durch die schwarze Titan-Beschichtung der Klinge aus AISI 420-Stahl einen edlen Charakter und wirken zusammen mit schönen Holzbeschalungen besonders elegant. Per Liner-Lock wird die 9,5 cm lange Klinge sicher arretiert. 
Die Messer werden mit einem Gürtelclip sowie einem Mikrofaser-Etui in der innovativen Deejo-Box geliefert.  Gewicht: 37 g
Heftlänge: 11.0 cm
Klingenlänge: 9.5 cm
Länge geöffnet: 20.5 cm
Klingenmaterial:
AISI420 
Griffmaterial : Grenadillholz (schwarz)
</t>
  </si>
  <si>
    <t>Deejo black 37g Granadilla Wood,Accueil,Messer plus,Klappmesser,naturzone,Deejo</t>
  </si>
  <si>
    <t>http://usfh.ch/img/Messer/1GB004.jpg</t>
  </si>
  <si>
    <t>1GB005</t>
  </si>
  <si>
    <t>Deejo black 37g Rosewood</t>
  </si>
  <si>
    <t xml:space="preserve">Deejo Leichtgewichtsmesser Black - Taschenmesser mit schwarzer Titanbeschichtung von deejo
Deejo Black - Taschenmesser
Mit Deejo BLACK erweitert Deejo seine erfolgreiche Kollektion an Leichtgewichtstaschenmessern erneut um eine Serie. 
Die nur 37 Gramm leichten Messer erhalten durch die schwarze Titan-Beschichtung der Klinge aus AISI 420-Stahl einen edlen Charakter und wirken zusammen mit schönen Holzbeschalungen besonders elegant. Per Liner-Lock wird die 9,5 cm lange Klinge sicher arretiert. 
Die Messer werden mit einem Gürtelclip sowie einem Mikrofaser-Etui in der innovativen Deejo-Box geliefert.  Gewicht: 37 g
Heftlänge: 11.0 cm
Klingenlänge: 9.5 cm
Länge geöffnet: 20.5 cm
Klingenmaterial:
AISI420 
Griffmaterial : Rosenholz (rot)
</t>
  </si>
  <si>
    <t>Deejo black 37g Rosewood,Accueil,Messer plus,Klappmesser,naturzone,Deejo</t>
  </si>
  <si>
    <t>http://usfh.ch/img/Messer/1GB005.jpg</t>
  </si>
  <si>
    <t>02OE005</t>
  </si>
  <si>
    <t>Wild Pak</t>
  </si>
  <si>
    <t>Dieses achtteilige Universalset bietet dem Waidmann alles, was er zum Zerwirken "vom Revier bis in den Kühlschrank" benötigt. Zum Aufbrechen, Abhäuten, Ringeln, Präparieren oder Zerwirken und Portionieren. Mit dem Spreizer lässt sich die Kammer ohne Wildbretschäden öffnen. Die Klingen sind aus 420er Stahl gefertigt. Die Griffe verfügen über eine rutschhemmende Geweihstruktur und liegen angenehm und sicher in der Hand. Durch die auffällige Farbgebung ist sichergestellt, dass sich der Inhalt auch auf einen Blick schnell wiederfindet. Das ganze Set ist kompakt und übersichtlich in einem handlichen Koffer untergebracht und enthält Skinner, Ausbeinmesser, Caper, Säge, 2 Spreizer, Messerschärfer und Schutzhandschuhe. Maße 40 x 18 x 4 cm. Gewicht 1030 g.</t>
  </si>
  <si>
    <t>Wild Pak,Accueil,Messer plus,feste Klinge,Böker,Outdoor Edge</t>
  </si>
  <si>
    <t>http://usfh.ch/img/Messer/02OE005.jpg</t>
  </si>
  <si>
    <t>02UC5052</t>
  </si>
  <si>
    <t>Hibben Legend Bowie</t>
  </si>
  <si>
    <t>Gil Hibben, als Messermacher wahrlich eine lebende Legende, entwirft und fertigt Messer seit unglaublichen 60 Jahren. Seit 1957 tätig, ist sein Einfluss auf die Messerwelt vor allem auch durch seine Entwürfe im Fantasy-Bereich, für Hollywood-Filme (Rambo III und IV sind hier sicher die berühmtesten) wie auch durch seine Custom-Messer, die er für viele Berühmtheiten gefertigt hat, unglaublich groß. So besaßen z.B. John Wayne, Elvis Presley, Steve McQueen, Steven Seagal und auch Sylvester Stallone handgefertigte Einzelstücke von Gil Hibben. Mit dem weltweit auf 3000 Stück limitierten und numerierten Legend Bowie wird der Meister nun gebührend gefeiert. Die beeindruckende, stark geschwungene Klinge aus 3Cr13-Edelstahl ist mit einem imposanten goldfarbenen Parierelement und einem massiven Abschlussknauf ausgestattet. Der schön gemaserte Schichtholzgriff liegt dank der Fingermulden wie angegossen in der Hand. Standesgemäß wird dieses Prunkstück auf einem Holz-Display präsentiert, das mit einer eingelassenen dreidimensionalen Jubiläumsplakette des Meisters ausgestattet ist. Auslieferung mit Echtheitszertifikat und Wandhalterung.Artikeltyp: Fahrtenmesser
Designer: Gil Hibben
Gesamtlänge: 45,7 cm
Klingenlänge: 30,5 cm
Klingenstärke: 4,9 mm
Gewicht: 834,0 g
Klingenmaterial: 3Cr13
Griffmaterial: Schichtholz
Verschluss: Feststehend
Farbe: Braun</t>
  </si>
  <si>
    <t>Hibben Legend Bowie,Accueil,Messer plus,feste Klinge,Böker,United Cutlery</t>
  </si>
  <si>
    <t>http://usfh.ch/img/Messer/02UC5052.jpg</t>
  </si>
  <si>
    <t>MA22836013</t>
  </si>
  <si>
    <t>MESSER MARTTIINI NETZ MARTEF 190MM</t>
  </si>
  <si>
    <t xml:space="preserve">Klinge aus Stahl/Martef 
Lederscheide
Die Klingen sind dank der sehr niedrigen Reibung der Klinge extrem scharf.
Martef ist sehr hygienisch. </t>
  </si>
  <si>
    <t>RA2200101</t>
  </si>
  <si>
    <t>MESSER RAPALA MARTTIINI FISH' N FILLET 15cm BPFNF6SH1</t>
  </si>
  <si>
    <t xml:space="preserve">Top Filetiermesser, Schmale, ultrascharfe Klinge mit starker Spitze. 
Inkl. Lederetui und Schärfer. Länge 15cm
</t>
  </si>
  <si>
    <t>02SC216</t>
  </si>
  <si>
    <t>Flying Bowie</t>
  </si>
  <si>
    <t>Dieses Wurfmesser Dreierset ist gleichermaßen gut für den geübten Werfer wie auch für den Neueinsteiger dieses interessanten Sportes geeignet. Die Klingen aus 420er-Stahl sind fein satiniert. Die ausgeprägte Bowieform ist mit einem leichten Recurveschliff versehen. Durch die vier Bohrungen im Griff erhalten die Messer ihre Balance. Die Auslieferung erfolgt mit einer Lederscheide mit Druckknopfsicherung und Gürtelschlaufe.Artikeltyp: Wurfmesser
Gesamtlänge: 26,8 cm
Klingenlänge: 15,5 cm
Klingenstärke: 4,1 mm
Gewicht: 172,0 g
Klingenmaterial: 42
Griffmaterial: Stahl
Verschluss: Feststehend
Farbe: Grau</t>
  </si>
  <si>
    <t>Wurfmesserset Small Skorpion</t>
  </si>
  <si>
    <t>3-teilig in Nylonscheide. Die Klingen sind aus 420 rostfreiem Stahl, teilweise schwarz beschichtet und am Griff mit Kordel umwickelt.
Klingenlänge 80 mm
Gesamtlänge 160 mm
Gewicht 65 g</t>
  </si>
  <si>
    <t>dee043</t>
  </si>
  <si>
    <t>Deejo the Kiss 37g Granadilla Wood mirror</t>
  </si>
  <si>
    <t>Deejos Messer zeichnet sich durch ein attraktives Design und sehr geringes Gewicht aus. Dies ist ein großartiges Gadget für alle welche Ästhetik und Gewichtsreduktion mögen. Das Messer wird den urbanen EDC ergänzen, passend zum Anzug und der Damenhandtasche.
Die Klinge ist aus rostfreiem Stahl mit einem dekorativen Muster . Die Verwendung der Klingensperre ist sicher . Teil des Handgriffs ist mit dunklem bedeckt Holz granadilla , die eine Variation des Ebenholz ist.
Das Messer wiegt nur 37 Gramm und belastet somit nicht Ihre Tasche. Der Kopf mit dem Griff wurde mit einem Torx, der größer als der Standard war, verdreht .
Mit dem Federklipp können Sie das Messer in Ihrer Tasche oder Ihrem Gürtel befestigen. Die Messer sind in einer dekorativen Schachtel verpackt.
Enthält zwei Messer, die zusammen ein einzigartiges Muster bilden.
Technische Daten : Klingenlänge 95 mm Klingenstärke 3 mm 
Stahl: 420 
Klinge: glatt 
Block: Rahmenschloss 
Griff: Edelstahl 
Klappmesserlänge: 110 mm 
Gesamtlänge: 205 mm 
Gewicht: 37 g 
Hersteller: Deejo, Frankreich</t>
  </si>
  <si>
    <t>09OE006</t>
  </si>
  <si>
    <t>Razor Lite Replacement Blades (6 Stück)</t>
  </si>
  <si>
    <t>Ersatzklingen-Set (6 Stück) für die Razor Lite Serie.Artikeltyp: Taschenmesser
Klingenmaterial: 420
Farbe: Silber</t>
  </si>
  <si>
    <t>MA2211006</t>
  </si>
  <si>
    <t>MESSER MARTTINII FULL TANG 250</t>
  </si>
  <si>
    <t>Marttinii</t>
  </si>
  <si>
    <t>Länge der Klinge: 115mm
Gesamtlänge: 250mm
Griff:Birke
Futteral in Leder</t>
  </si>
  <si>
    <t>RA2200102</t>
  </si>
  <si>
    <t>MESSER RAPALA MARTTIINI FISH' N FILLET 19cm BPFNF7SH1</t>
  </si>
  <si>
    <t xml:space="preserve">Top Filetiermesser, Schmale, ultrascharfe Klinge mit starker Spitze. 
Inkl. Lederetui und Schärfer. Länge 19cm
</t>
  </si>
  <si>
    <t>RUI</t>
  </si>
  <si>
    <t>01RU037</t>
  </si>
  <si>
    <t>25 Siroco Folding Knife</t>
  </si>
  <si>
    <t>Wer auf kompakte Abmessungen und geringes Gewicht Wert legt, für den ist die ist klappbare Variante des Sirocco erste Wahl. Die Klinge des Taschenmessers ist mit einer Titanbeschichtung in Arid Camo, einem- Wüstentarnmuster, versehen. Der leichtgewichtige und dennoch strapazierfähige Griff wird aus Aluminium gefertigt und ebenfalls mit der Tarnbeschichtung versehen. Die fluoreszierenden Punkte im Griff helfen, das Messer bei Nacht zu lokalisieren. Der Linerlock sichert hier die Klinge mit Teilwellenschliff und kann per Daumenpin bequem geöffnet werde. Der Glasbrecher und der Gurtschneider leisten im Notfall hilfreiche Dienste. Auslieferung mit Nylon-Etui.Artikeltyp: Taschenmesser
Gesamtlänge: 22,0 cm
Klingenlänge: 9,0 cm
Klingenstärke: 3,4 mm
Gewicht: 255,0 g
Griffmaterial: Aluminium
Verschluss: Linerlock
Öffnungshilfe: Flipper
Federunterstützung: Nein
Springmesser: Nein
Farbe: Khaki</t>
  </si>
  <si>
    <t>BlackField SMALL DESERT STORM</t>
  </si>
  <si>
    <t xml:space="preserve">Ein kräftiges und dennoch handliches Tacticalmesser.
Die schwarz beschichtete Klinge ist aus 440 rostfreiem Stahl und mit einem Teilwellenschliff versehen. Die Griffbeschalung ist aus rutschfestem Kunststoff. Am Klingenrücken befindet sich eine zusätzliche Daumenauflage um den Scheidedruck zu erhöhen. Dank der kräftigen Parierstange und den Fingermulden lässt sich das Messer auch mit Handschuhen sicher greifen.
Die Nylonscheide bietet verschiedene Tragemöglichkeiten und verfügt über eine aufgesetzte Vortasche.
Klingenlänge 125 mm
Gesamtlänge 250 mm
Gewicht 250 g
</t>
  </si>
  <si>
    <t>Schwimmendes Filetmesser</t>
  </si>
  <si>
    <t>Schwimmendes Filetmesser mit Leuchtkappe. Flexibler Spezialstahl 1.4116. 
Grifflänge 13,8 cm, Klingenlänge 16,1 cm, Gesamtlänge 29,9 cm, Klingenstärke 2 mm, Gewicht 54 g.</t>
  </si>
  <si>
    <t>WithArmour Garfish</t>
  </si>
  <si>
    <t>WithArmour</t>
  </si>
  <si>
    <t>Das Garfish ist ein 2-teiliges Wurfmesserset
perfekt ausbalanciert, mit einer Materialstärke von 5 mm und komplett aus 440 schwarz beschichtetem, rostfreiem Stahl hergestellt.
Beide Messer kommen in einer kräftigen Nylonscheide.
Klingenlänge 110 mm
Gesamtlänge 220 mm
Gewicht je Messer 100 g</t>
  </si>
  <si>
    <t>01KALS91</t>
  </si>
  <si>
    <t>AKS-74 Stubby Swiss Edition</t>
  </si>
  <si>
    <t>Kalashnikov</t>
  </si>
  <si>
    <t>Dass ein kleines Messer nicht immer zierlich sein muss, ist sicher keine neue Erkenntnis. Aber dass das Kalashnikov als „Stubby“ zwischen der Standardgröße und den Mini-Modellen eine so gelunge Brücke schlägt, hat uns selbst überrascht. Mit einer Ergonomie, die auch größeren Händen oder bei kraftvollerem Einsatz maximale Kontrolle bietet, ist das Stubby die erste Wahl für alle, die viel Power und Kompaktheit an einem Messer zu schätzen wissen. Aluminium- Griff, EDP-beschichtet, mit Clip (Tip-up). Die kompakten Abmaße erlauben es, mit einer nur minimal gekürzten Klinge eine Version anzubieten, die auch dem aktuellen Schweizer Waffenrecht entspricht. Dieses erlaubt Springmesser nur mit eine Maximallänge von geöffnet 12 cm bei maximal 5 cm Klingenlänge.Artikeltyp:	Taschenmesser
Gesamtlänge:	12,0 cm
Klingenlänge:	4,8 cm
Klingenstärke:	3,0 mm
Gewicht:	69,0 g
Klingenmaterial:	AUS-8
Griffmaterial:	Aluminium
Verschluss:	Druckknopf
Öffnungshilfe:	Druckknopf
Öffnung:	Automatik
Farbe:	Schwarz
Klingenfarbe:	Unbeschichtet</t>
  </si>
  <si>
    <t>ColdSteel</t>
  </si>
  <si>
    <t>CST-88HNHD</t>
  </si>
  <si>
    <t>Bastarddolch mit Scheide, Begleitdolch für Anderthalbhänder</t>
  </si>
  <si>
    <t xml:space="preserve">Bastarddolch mit Scheide, Begleitdolch für Cold Steels Anderthalbhänder
Für das Bastardschwert (Art.Nr. CST-88HNH) hat Cold Steel diesen passenden Begleitdolch entwickelt: Verkleinert aber nahezuidentisch im Aussehen ist dieser Dolch als Hieb- und Stichwaffe konzipiert, aber auch stark genug, um als Defensivwaffe guteArbeit zu leisten.
Der Griff ist aus Holz hergestellt und mit schwarzem Leder bezogen. Das Griffende ist mit einem wunderschönen Pfropfen-Knauf versehen.
Bei Verarbeitung und Materialien erfüllt jeder dieser Dolche die höchsten Qualitätsansprüche. Alle Klingen sind vollständig geschärft und kampftauglich. 
Um die Klinge sicher zu beherbergen, wird jeder Dolch mit einer sehr attraktiven Holzscheide mit Lederbezug und Mundblech und Ortband aus Stahl geliefert.
Details: 
- Material: Klinge aus 1055er Karbonstahl, Holzgriff mit Lederbezug
- Gesamtlänge: ca. 49 cm
- Grifflänge: ca. 16 cm
- Klingenlänge: ca. 33 cm 
- Klingenstärke: ca. 6,35 mm 
- Gewicht: ca. 496 g
- Inkl. einer lederbezogenen Holzscheide mit Stahlbeschlägen
- Herstellernr.: 88HNHD
- Eine preisgünstigere, gebläute Ausführung aus der Man at Arms-Kollektion von Cold Steel ist ebenfalls erhältlich. Product No.: CST-88HNHDM. </t>
  </si>
  <si>
    <t>CST-20PBS</t>
  </si>
  <si>
    <t>Peace Maker III, Stiefelmesser</t>
  </si>
  <si>
    <t xml:space="preserve">Peace Maker III, Taktisches Stiefelmesser
Wenn Du beim Militär oder bei der Polizei bist, wenn Du Pferde reitest oder Motorrad fährst, wenn Du auf einer Ranch oder einer
Farm lebst, dann sind die Peace Maker von Cold Steel wie für Dich geschaffen! 
Diese vielseitigen feststehenden Messer sind verblüffend leicht und wesentlich schmaler als viele der taktischen Messer, die
heutzutage im Handel erhältlich sind. Mit ihrem Scandi-Schliff sind die Klingen sehr einfach nachzuschleifen und ihre stabilen,
distal verjüngten Spitzen sind imstande, dickes Material zu durchdringen, ohne an Schnittleistung einzubüßen. 
Da diese preiswerten Stiefelmesser ein breites Spektrum an Anwendungsmöglichkeiten (Alltagsarbeiten, Jagd, Angeln, Notfallrettung,
Survival, etc.) bieten, sind sie auch entsprechend mit einem vielseitigen Griff ausgestattet. Der schmale, rechteckige Griff
zeichnet sich durch seine raffinierte Linienführung und ausgeprägte Wölbung aus. Ein Parierelement schützt Deine kostbaren Finger,
während eine Daumenmulde am Griffende die Einsatzvielfalt steigert, indem sie einen bequemen und stabilen
Reverse Grip ermöglicht. Die meisterhaft gestalteten Griffe mit Tüpfelmuster sind tief strukturiert und bieten die
Hebelkraft, die Du brauchst, um die erstaunliche Schneid- und Durchdringungskraft voll ausschöpfen zu können. 
Cold Steels umsetzbare Polymer-Scheiden mit spezialangefertigtem Gürtelclip aus rostfreiem Stahl sorgen für ausgezeichneten
Tragekomfort. 
Rostfreier Messerstahl 4116 
Der 4116er Stahl ist ein feinkörniger, rostfreier Messerstahl aus Deutschland. Er wird oft für pharmazeutische Gerätschaften und
für hochqualitative Küchenmesser verwendet. Sein ausgewogenes Kohlenstoff-Chrom-Verhältnis sorgt sowohl für erstklassigen
Rostschutz als auch für große Stärke. Es sind sehr feine, extrem scharfe Schneiden schleifbar. Eine exzellente Wahl für Outdoor-
und Jagdmesser. 
Cold Steels rostfreier Stahl 4116 wird cryo-behandelt. Durch diese Tieftemperaturbehandlung wird für eine deutlich bessere
Festigkeit, Härte, und Widerstandsfähigkeit gesorgt und eine höhere Schnitthaltigkeit erzielt. 
Details: 
- Peace Maker III
- Klingenmaterial: Deutscher Edelstahl 4116, cryo-behandelt
- Gesamtlänge: ca. 21,6 cm 
- Klingenlänge: ca. 10,2 cm 
- Klingenstärke: ca. 2,5 mm 
- Griff: ca. 11,4 cm lang, aus Kray-Ex™ 
- Inkl. Secure-Ex® Scheide
- Gewicht: ca. 96 g </t>
  </si>
  <si>
    <t>CST-20PBL</t>
  </si>
  <si>
    <t>Peace Maker II, Stiefelmesser</t>
  </si>
  <si>
    <t xml:space="preserve">Peace Maker II, Taktisches Stiefelmesser
Wenn Du beim Militär oder bei der Polizei bist, wenn Du Pferde reitest oder Motorrad fährst, wenn Du auf einer Ranch oder einer
Farm lebst, dann sind die Peace Maker von Cold Steel wie für Dich geschaffen! 
Diese vielseitigen feststehenden Messer sind verblüffend leicht und wesentlich schmaler als viele der taktischen Messer, die
heutzutage im Handel erhältlich sind. Mit ihrem Scandi-Schliff sind die Klingen sehr einfach nachzuschleifen und ihre stabilen,
distal verjüngten Spitzen sind imstande, dickes Material zu durchdringen, ohne an Schnittleistung einzubüßen. 
Da diese preiswerten Stiefelmesser ein breites Spektrum an Anwendungsmöglichkeiten (Alltagsarbeiten, Jagd, Angeln, Notfallrettung,
Survival, etc.) bieten, sind sie auch entsprechend mit einem vielseitigen Griff ausgestattet. Der schmale, rechteckige Griff
zeichnet sich durch seine raffinierte Linienführung und ausgeprägte Wölbung aus. Ein Parierelement schützt Deine kostbaren Finger,
während eine Daumenmulde am Griffende die Einsatzvielfalt steigert, indem sie einen bequemen und stabilen
Reverse Grip ermöglicht. Die meisterhaft gestalteten Griffe mit Tüpfelmuster sind tief strukturiert und bieten die
Hebelkraft, die Du brauchst, um die erstaunliche Schneid- und Durchdringungskraft voll ausschöpfen zu können. 
Cold Steels umsetzbare Polymer-Scheiden mit spezialangefertigtem Gürtelclip aus rostfreiem Stahl sorgen für ausgezeichneten
Tragekomfort. 
Rostfreier Messerstahl 4116 
Der 4116er Stahl ist ein feinkörniger, rostfreier Messerstahl aus Deutschland. Er wird oft für pharmazeutische Gerätschaften und
für hochqualitative Küchenmesser verwendet. Sein ausgewogenes Kohlenstoff-Chrom-Verhältnis sorgt sowohl für erstklassigen
Rostschutz als auch für große Stärke. Es sind sehr feine, extrem scharfe Schneiden schleifbar. Eine exzellente Wahl für Outdoor-
und Jagdmesser. 
Cold Steels rostfreier Stahl 4116 wird cryo-behandelt. Durch diese Tieftemperaturbehandlung wird für eine deutlich bessere
Festigkeit, Härte, und Widerstandsfähigkeit gesorgt und eine höhere Schnitthaltigkeit erzielt. 
Details: 
- Peace Maker II
- Klingenmaterial: Deutscher Edelstahl 4116, cryo-behandelt
- Gesamtlänge: ca. 26 cm 
- Klingenlänge: ca. 14 cm 
- Klingenstärke: ca. 3 mm 
- Griff: ca. 12 cm lang, aus Kray-Ex™ 
- Inkl. Secure-Ex® Scheide
- Gewicht: ca. 153 g </t>
  </si>
  <si>
    <t>CST-17T</t>
  </si>
  <si>
    <t>Kobun, Stiefelmesser mit Tantoklinge</t>
  </si>
  <si>
    <t xml:space="preserve">Kobun, Stiefelmesser im Tanto-Stil
Der Name dieses leichten Stiefelmessers von Cold Steel ist dem Wortschatz der Yakuza entnommen. Bei diesen
japanischen Untergrundorganisationen wird Kobun manchmal als eine Rangbezeichnung benutzt, die in etwa dem Wort
Soldat entspricht (ein Kobun führt die Befehle seines Oyabun - seines Clanchefs - aus). Kobun ist daher ein
passender Name für ein Messer, das in der Tat dazu konzipiert wurde, ein guter Soldat zu sein.
Als unglaublich beliebt hat sich dieses Messer beim US-Militär erwiesen, das nicht nur sein geringes Gewicht und dezentes Profil
sondern auch seine Strapazierfähigkeit und Schnittigkeit sehr schätzt. 
Das Kobun verfügt über Cold Steels berühmte American Tanto-Klinge mit verstärkter Spitze. Der Klingenrücken ist fast bis
zum Ort gleichmäßig stark und macht die Spitze somit besonders biege- und bruchfest. Trotz seines schmalen Profils bietet der tief
geriffelte Kray-Ex™ Griff maximale Griffigkeit. Seine Form verhindert, dass das Messer sich in der Hand dreht oder
verrutscht. 
Eine Secure-Ex® Scheide ist im Lieferumfang enthalten. 
Details: 
- Klingenmaterial: Japanischer Edelstahl AUS 8A 
- Gesamtlänge: ca. 25,1 cm 
- Klingenlänge: ca. 14 cm 
- Klingenstärke: ca. 3,5 mm 
- Griff: ca. 11,1 cm lang, Kray-Ex™ 
- Gewicht: ca. 125 g </t>
  </si>
  <si>
    <t>Elite Force EF141 Taschenmesser aus 440C Stainless Steel</t>
  </si>
  <si>
    <t>Formschönes Design für alltägliche Effizienz
Klingenmaterial: 440C Stainless Steel - Gewicht: 116 g
Klingenlänge: 7 cm - Gesamtlänge: 17 cm - Eingeklappt: 10 cm
Klingenform: Spearpoint
Dank des ergonomischen Polymer-Griffes liegt sicher in der Hand</t>
  </si>
  <si>
    <t>01MB634</t>
  </si>
  <si>
    <t>Magnum Black Satin</t>
  </si>
  <si>
    <t>Die Klinge aus 440A-Edelstahl besitzt ein dezentes Two-Tone-Finish und kann mit Flipper oder Daumenpin leicht mit einer Hand geöffnet werden. Der schwarze G10-Griff liegt sehr angenehm und sicher in der Hand. Der Clip, die Linerlock- Verriegelung und die Fangriemenöse erhöhen den Nutzwert.Gesamtlänge: 19,4 cm
Klingenlänge: 7,9 cm
Gewicht: 143 g
Klingenstärke: 3,4 mm
Klingenmaterial: 440A
Griffmaterial: G10
Verschluss: Linerlock</t>
  </si>
  <si>
    <t>09BO773</t>
  </si>
  <si>
    <t>Böker Plus Black Skull Lanyard</t>
  </si>
  <si>
    <t>09ES010</t>
  </si>
  <si>
    <t>KitchenIQ Deluxe Edge Grip Diamond</t>
  </si>
  <si>
    <t>Der Deluxe Edge Grip Diamond Zweistufenschärfer ist leichtgewichtig, transportabel und kann einfach auf jeder glatten Oberfläche oder an einer Tischkante eingesetzt werden. Er verfügt anstelle der sonst oft üblichen Carbideinsätze für den Vorschliff über hochwertige Diamanteinsätze. Die Diamanteinsätze und die gekreuzt montierten Ceramic-Schleifeinsätze bieten mit dem fest vorgegebenen Schleifwinkel eine hohe Bediensicherheit und liefern auch ohne Vorkenntnisse gleichbleibend gute Ergebnisse. Während die Diamanteinsätze für die schnelle Wiederherstellung der Schneidengeometrie sorgen, sind die feinen Ceramiceinsätze für den anschließenden Feinabzug oder für das schnelle "Auffrischen" der Schärfe zwischendurch zuständig. Diese Kombination ermöglicht es Ihnen, jeder Klinge ihre maximale Schärfe zu geben und auch zu halten. Der ergonomisch geformte Schärfer verfügt über rutschfeste Gummifüße und einen gummierten Haltegriff für komfortables und sicheres Arbeiten. Der V-förmige Unterbau ermöglicht auch das Schärfen an einer Tischkante.Gesamtlänge: 9,5 cm</t>
  </si>
  <si>
    <t>Taschenmesser mit Karabiner</t>
  </si>
  <si>
    <t>Ein kleines, handliches Taschenmesser, welches mit einem integrierten Karabiner und einem zusätzlichen Clip verschiedene Befestigungsmöglichkeiten bietet. 
Die schwarz beschichtete Klinge ist aus 440 rostfreiem Stahl und arretiert mittels Liner-Lock. Der Griff ist aus Kunststoff. 
Klingenlänge 70 mm
Gewicht 90 g</t>
  </si>
  <si>
    <t>H-82379.04</t>
  </si>
  <si>
    <t>3-Fach Messerschärfstation</t>
  </si>
  <si>
    <t>MIKRA</t>
  </si>
  <si>
    <t>Tactix</t>
  </si>
  <si>
    <t>H-82379.01</t>
  </si>
  <si>
    <t>3-Fach Outdoor Messerschärfer</t>
  </si>
  <si>
    <t>01RU055</t>
  </si>
  <si>
    <t>Taschenmesser
K25 Tactical Pocketknife 10876</t>
  </si>
  <si>
    <t>K25</t>
  </si>
  <si>
    <t>Taktisches Taschenmesser mit gummiertem Aluminiumgriff. Lieferung mit Nylon-Gürteletui.Gesamtlänge: 20,0 cm
Klingenlänge: 8,5 cm
Gewicht: 140 g
Klingenstärke: 2,9 mm
Klingenmaterial: 7Cr13MoV
Griffmaterial: Aluminium
Verschluss: Linerlock</t>
  </si>
  <si>
    <t>01RU057</t>
  </si>
  <si>
    <t>Taschenmesser
K25 Python Folder</t>
  </si>
  <si>
    <t>Der K25 Python Folder ist ein taktisches Einsatzmesser mit Python-Camo. Die spektakuläre Optik und die ausgezeichnete Handlage machen das K25 Python zu einem echten Hingucker. Die Klinge öffnet per Flipper oder Daumenknopf und verriegelt per Linerlock. Lieferung mit passendem Nylon-Gürteletui.Gesamtlänge: 20,0 cm
Klingenlänge: 8,6 cm
Gewicht: 140 g
Klingenstärke: 2,9 mm
Klingenmaterial: 7Cr17MoV
Griffmaterial: Aluminium
Verschluss: Linerlock</t>
  </si>
  <si>
    <t>09DX005</t>
  </si>
  <si>
    <t>Work Sharp Knife &amp; Tool Sharpener Ken Onion Edition</t>
  </si>
  <si>
    <t>Work Sharp</t>
  </si>
  <si>
    <t>Die Ken Onion Edition des Knife &amp; Tool Sharpeners von Work Sharp ist in intensiver Zusammenarbeit mit dem amerikanischen Custom-Messermacher Ken Onion entstanden. Es handelt sich allerdings nicht um den Nachfolger des bereits bekannten Gerätes, sondern um ein überarbeitete Version, die dem Anwender mehr Optionen bietet als das Original. Während die grundsätzliche Handhabung identisch zum Knife &amp; Tool Sharpener ist, verlangt die große Auswahl an Optionen der Ken Onion Edition auch etwas mehr Fachkenntnis. Für den Anwender, der eine möglichst einfache Handhabung bei professionellen Resultaten sucht, ist das Grundmodell nach wie vor eine hervorragende Empfehlung. Die Ken Onion Edition wartet gegenüber dem Grundmodell mit folgenden Zusatzeigenschaften auf:
Variable Bandgeschwindigkeit, vorwählbar von 1200 SFM bis 2800 SFM
Stufenlos einstellbarer Schleifwinkel von 15° - 30°
Breitere Schleifbänder (3/4" x 12") in größerer Auswahl an Körnungen
Neue, optionale Schneidenführung bis zur Klingenspitze
Auswahl an Zusatzwerkzeugaufsätzen für weitere Anwendungen
Durch die feiner einstellbaren Werte ergeben sich deutlich mehr Möglichkeiten der Klingenbearbeitung. Einfacher Bandwechsel ohne Werkzeug. Herunterklappbarer Schleifkopf für platzsparendes Verstauen. Lieferung mit Schleifbandset P120, X65 (entspricht Körnung P220), X22 (entspricht Körnung P1000), X4 (entspricht Körnung P3000) und P6000.
L x B x H (betriebsbereit): 25 cm x 15 cm x 14 cm | 220V Netzanschluss</t>
  </si>
  <si>
    <t>Muela Kodiak Combo Micarta</t>
  </si>
  <si>
    <t>Das Kodiak Combo entspricht in den Abmaßen den bereits bekannten Kodiak Modellen, besitzt jedoch einen grünen Canvas-Micartagriff für mehr Grip. Die Klinge wird aus dem stickstofflegierten 14C28N von Sandvik gefertigt und überzeugt mit exzellenter Schnitthaltigkeit. Schwarze Lederscheide mit integriertem Feuerstarter zum horizontalen oder vertikalen Tragen.Gesamtlänge: 21,6 cm
Klingenlänge: 10,2 cm
Gewicht: 209 g
Klingenstärke: 3,9 mm
Klingenmaterial: 14C28N
Griffmaterial: Micarta
Verschluss: Feststehend</t>
  </si>
  <si>
    <t>Commandoschwert</t>
  </si>
  <si>
    <t>Taschenmesser Nightmare 1</t>
  </si>
  <si>
    <t>Dieses Taschenmesser ist ein echter Blickfang.
Sowohl der Griff als auch die Klinge sind reich verziert. Auf dem Griff ist die Verzierung in 3D. Die schwarz beschichtete Klinge ist aus 420 rostfreiem Stahl. Die Griffbeschalung ist aus Leichtmetall und auf der Rückseite befindet sich ein Gürtelclip.
Klingenlänge 85 mm</t>
  </si>
  <si>
    <t>Taschenmesser Nightmare 2</t>
  </si>
  <si>
    <t>Dieses Taschenmesser ist ein echter Blickfang.
Der Griff ist reich in 3D verziert. Die schwarz beschichtete Klinge ist aus 420 rostfreiem Stahl. Die Griffbeschalung ist aus Leichtmetall und auf der Rückseite befindet sich ein Gürtelclip.
Klingenlänge 90 mm</t>
  </si>
  <si>
    <t>Taschenmesser Nightmare 4</t>
  </si>
  <si>
    <t>Dieses Taschenmesser ist ein echter Blickfang.
Sowohl die Klinge als auch der Griff sind beidseitig reich verziert. Die Klinge ist aus 420 rostfreiem Stahl, der Griff aus ist aus Kunststoff und auf der Rückseite befindet sich ein Gürtelclip.
Klingenlänge 95 mm</t>
  </si>
  <si>
    <t>WithArmour Wurfmesser Aces 2 tlg.</t>
  </si>
  <si>
    <t>Das Aces ist ein 2-teiliges Wurfmesserset.
Perfekt ausbalanciert, mit einer Materialstärke von 4 mm und komplett aus 440 schwarz beschichtetem, rostfreiem Stahl hergestellt.
Beide Messer kommen in einer kräftigen Nylonscheide.
Klingenlänge 110 mm
Gesamtlänge 215 mm
Gewicht je Messer 150 g</t>
  </si>
  <si>
    <t>Lansky</t>
  </si>
  <si>
    <t>09BO778</t>
  </si>
  <si>
    <t>Fire Starter</t>
  </si>
  <si>
    <t>Accueil,Outdoor plus,Verschiedenes</t>
  </si>
  <si>
    <t>Ein unverzichtbares Utensil in Notfallsituationen ist der Magnesium-Feuerstarter. Die mit dem beiliegenden Schaber erzeugten Späne helfen enorm beim schnellen Entfachen des Lager- oder Notfeuers. Stabile Konstruktion in verschraubtem Aluminiumgehäuse mit griffigem Checkering. Ins Gehäuse integrierter Kompass.Gesamtlänge: 12,0 cm
Gewicht: 100,0 g
Farbe: Schwarz</t>
  </si>
  <si>
    <t>Ninjaschwert Lederwicklung</t>
  </si>
  <si>
    <t>Ninjaschwert Lederwicklung
Die schwarz beschichtete Klinge ist aus 420 rostfreiem Stahl. Der Griff ist mit Lederscheiben gewickelt. Die Parierstange und der Griffabschluss sind aus Stahl. Mit Nylonscheide.
Klingenlänge 50 cm
Gesamtlänge 71 cm</t>
  </si>
  <si>
    <t>Commandoschwert
Klinge schwarz beschichtet.
Die Klinge ist ganz aus 420 rostfreiem Stahl gearbeitet und am Griffstück mit Kordel umwickelt. Dazu gehört eine Kombinations-Kydexscheide die es erlaubt
dieses Schwert am Rücken, am Gürtel und am Bein zu tragen.
Gesamtlänge 69 cm</t>
  </si>
  <si>
    <t>Smith &amp; Wesson Tantomesser</t>
  </si>
  <si>
    <t>Smith&amp;Wesson</t>
  </si>
  <si>
    <t>Smith &amp; Wesson Tantomesser
Ein kräftiges Messer mit stabiler Tantoklinge. Die schwarz beschichtete Klinge aus 9CR17MoV rostfreiem Stahl ist mit einem Teilwellenschliff ausgestattet. Der rutschfeste Griff aus gummiertem Kunststoff hat einen Metallabschluss. Mit stabiler Kunststoffscheide, welche beidseitig getragen werden kann und somit für Rechts- und Linkshänder geeignet ist.
Klingenlänge 130 mm
Gesamtlänge 265 mm</t>
  </si>
  <si>
    <t>Original Glock Feldmesser grey</t>
  </si>
  <si>
    <t>Original Glock Feldmesser grey
Graue Ausführung.
Das Messer wurden in Zusammenarbeit mit dem österreichischen Bundesheer für den Militäreinsatz entwickelt. Als wahres Multitalent lässt es sich zum Schneiden, Hacken, Graben, Hebeln, zum Öffnen von Dosen und sogar als Kapselheber verwenden. Die Klinge ist aus rostträgem Federstahl mit einer Härte von HRC55, die genaue Zusammensetzung ist allerdings ein gut gehütetes Betriebsgeheimnis. Als Reflektions- und Rostschutz ist die Klinge schwarz phosphatiert. Die Scheide und der Griff aus bewährtem Glock-Polymer sind nahezu unverwüstlich. In jeder Situation sicher gehalten wird das Messer mit einem simplen, aber wirkungsvollen Clipverschluss. Beim Ziehen des Messers wird dieser einfach mit dem Daumen entriegelt.
Klingenlänge 165 mm
Gesamtlänge 290 mm</t>
  </si>
  <si>
    <t>WithArmour Ocra</t>
  </si>
  <si>
    <t>WithArmour Ocra
Ein Tactical-Allrounder für den Outdooreinsatz.
Die 5 mm starke Integralklinge ist aus 440C rostfreiem Stahl, schwarz beschichtet. Für eine sichere Handlage wird als Griffbeschalung gummierter Kunststoff verwendet. Außerdem sorgen tiefe Fingermulden und die Daumenauflage für einen sicheren Griff. Am Griffende ist zusätzlich noch ein Fangriemen angebracht.
Mit kräftiger Nylonscheide mit Vortasche.
Klingenrückenstärke 5 mm
Klingenlänge 130 mm
Gesamtlänge 250 mm
Gewicht 265 g</t>
  </si>
  <si>
    <t>02RU058</t>
  </si>
  <si>
    <t>K25 Thunder II</t>
  </si>
  <si>
    <t>Das K25 Thunder ist ein Überlebensmesser mit einem Survival-Notfallset im Hohlgriff, der durch eine Schraubkappe mit integriertem Kompass verschlossen werden kann. Die Klinge des Fahrtenmessers wird aus 8Cr13MoV gefertigt und titanbeschichtet. Sie verfügt über ein markantes Two-Tone Finish und eine Rückensäge. Der beidseitige Handschutz verhindert ein Abrutschen auf die Klinge, und der strukturierte Kunststoffgriff optimiert die Griffigkeit. Die bis ins letzte Detail durchdachte Multifunktionsscheide beherbergt zusätzliche Notfallausrüstung sowie eine Schleuder und ist auch ohne das Messer vielseitig einsetzbar. Ausgeliefert wird das Thunder II mit einem vielseitig nutzbaren Beimesser mit Zusatzfunktionen, das auch als Harpune eingesetzt werden kann.Gesamtlänge: 30,5 cm
Klingenlänge: 17,0 cm
Gewicht: 289 g
Klingenstärke: 5,6 mm
Klingenmaterial: 8Cr13MoV
Griffmaterial: Gummi
Verschluss: Feststehend</t>
  </si>
  <si>
    <t>01BO011DAM</t>
  </si>
  <si>
    <t>Böker Sommelier Damast</t>
  </si>
  <si>
    <t>Ein edler Wein möchte auch stilvoll geöffnet werden! Das Böker Sommelier Damast bietet nicht nur eine kleine Damastklinge zum Einschneiden der Folie, sondern auch eine Griffbeschalung, die komplett aus Damast gefertigt wird. Durch die Konturierung des Griffes liegt das Böker Sommelier Damast ausgezeichnet in der Hand. Mit diesem Sommeliermesser wird schon das Öffnen der Flasche zum Genuss.Gesamtlänge: 11,3 cm
Klingenlänge: 4,1 cm
Gewicht: 103 g
Klingenstärke: 2,7 mm
Klingenmaterial: Damast
Griffmaterial: Damast
Verschluss: Slipjoint</t>
  </si>
  <si>
    <t>MA22FNFSF7</t>
  </si>
  <si>
    <t>MESSER MARTTIINI Filet Superflex BPFNFSF7</t>
  </si>
  <si>
    <t>MESSER RAPALA FISH N FILLET SUPERFLEX BPFNFSF7
Code: MA22FNFSF7
Gesamtlänge: 32.00 cm
Klingenlänge: 19.00 cm</t>
  </si>
  <si>
    <t>MA22FNFSF6</t>
  </si>
  <si>
    <t>MESSER MARTTIINI Filet Superflex BPFNFSF6</t>
  </si>
  <si>
    <t>MESSER RAPALA FISH N FILLET SUPERFLEX BPFNFSF6
Code: MA22FNFSF6
Gesamtlänge: 28.00 cm
Klingenlänge: 15.00 cm</t>
  </si>
  <si>
    <t>02MU156</t>
  </si>
  <si>
    <t>Muela Kodiak Combo Micarta II</t>
  </si>
  <si>
    <t>Das Kodiak Combo entspricht in den Abmaßen den bereits bekannten Kodiak Modellen, ist jedoch mit einem grün-braunen Griff aus Canvas Micarta ausgestattet. Die Klinge wird aus dem stickstofflegierten 14C28N von Sandvik gefertigt und überzeugt mit exzellenter Schnitthaltigkeit. Mit schwarzer Lederscheide mit integriertem Feuerstarter zum horizontalen oder vertikalen Tragen.Gesamtlänge: 21,6 cm
Klingenlänge: 10,2 cm
Gewicht: 209 g
Klingenstärke: 3,9 mm
Klingenmaterial: 14C28N
Griffmaterial: Micarta</t>
  </si>
  <si>
    <t>09BO506</t>
  </si>
  <si>
    <t>Blade-Tech Tek-Lok Klein</t>
  </si>
  <si>
    <t>Das Tek-Lok von Blade-Tech ist ist ein innovatives, patentiertes Adaptersystem aus den USA, dass sich an verschiedene Gürtel- oder Gurtbreiten bis maximal 38 Millimeter einstellen lässt. Mittels versetzter Schraubenpositionen können Messerscheiden sehr flexibel am Gürtel oder der Ausrüstung befestigt werden, sodass schneller Zugriff in verschiedenen Positionen garantiert ist. Gefertigt wird der Adapter aus Glasfaserverstärktem Kunststoff.
Beachten Sie bitte, dass das Tek-Lok grundsätzlich mit lediglich zwei Schrauben befestigt wird. Bei vielen Scheiden erfolgt dies auf einer Seite der Scheide, und nicht quer über die ganze Scheide.Gesamtlänge: 5,3 cm
Gewicht: 17 g</t>
  </si>
  <si>
    <t>Fox</t>
  </si>
  <si>
    <t>02UC2629</t>
  </si>
  <si>
    <t>United Cutlery Honshu Tanto I</t>
  </si>
  <si>
    <t>Nicht unbedingt als EDC gedacht, bietet dieses klassisch orientierte Tanto dem Blankwaffenfreund ein eindrucksvolles Sammlerstück. Die gewaltige Klinge mit 27,3cm Länge wird aus 440A gefertigt und verfügt über eine Hohlkehle. Der direkt aufgespritzte Griff aus plastischem Elastomer und das Edelstahl-Parierstück sorgt für sicheres Handling. Lieferung mit schwarzer Lederscheide. 
Gesamtlänge: 42,6 cm
Klingenlänge: 27,3 cm
Klingenmaterial: 440A
Griffmaterial: Plastisches Elastomer
Verschluss: Feststehend</t>
  </si>
  <si>
    <t>01MB857</t>
  </si>
  <si>
    <t>Magnum Special Forces 42</t>
  </si>
  <si>
    <t>Das beliebte Magnum Special Forces wird auf vielfachen Wunsch zusätzlich auch in einer Zweihandversion angeboten. Das Rettungsmesser ohne Daumenpin ist den weltbekannten Elite-Einheiten der amerikanischen Streitkräfte gewidmet. Der schwarz beschichtete und leichtgewichtige Griff aus Aluminium trägt ein Emblem mit dem Wappen der Special Forces. Die rostfreie Klinge aus 440A arretiert über den Linerlock. Die Bohrungen verleihen der Klinge eine eigene Note und reduzieren zudem das Gewicht. Das Taschenmesser verfügt über einen Nagelhau, mit dessen Hilfe es bequem mit zwei Händen zu öffnen ist. Am Griffende befindet sich ein Glasbrecher und ein Gurtschneider. Somit empfiehlt sich dieses Messer für jede Notfallausrüstung im PKW. Mit Clip.
Die Magnum-Rettungsmesser sind voll funktionsfähig und einsatzbereit, allerdings sind sie nicht für den täglichen, harten Einsatz von professionellen Einsatzkräften konzipiert worden. Für professionelle Anwender empfehlen wir zum Beispiel die Modelle Böker Plus Savior oder FKMD A.L.S.R. 2.Gesamtlänge: 20,2 cm
Klingenlänge: 8,2 cm
Gewicht: 121 g
Klingenstärke: 2,8 mm
Klingenmaterial: 440A
Griffmaterial: Aluminium
Verschluss: Linerlock
Mit dem Pohl Force MK-8 und MK-9 an seiner Seite endet die legendäre fünfteilige Filmreihe (1982-2019) über den ehemaligen Vietnam Green Beret. Wie kein anderer machte er auf der Kinoleinwand das Messer zum wichtigsten Bestandteil seiner Ausrüstung.
Das MK-9 der Pohl Force LAST BLOOD® CNC² Edition spiegelt die Jahrzehnte lange Erfahrung des Messerdesigners Dietmar Pohl in der Entwicklung taktischer Einsatzmesser wider. Die 23 Zentimeter lange und 6 Millimeter starke Spearpoint-Klinge ist auf kompromisslose Belastbarkeit ausgelegt. Hohe Korrosionsbeständigkeit und zuverlässige Schnitthaltigkeit bietet der bewährte 90Cr18MoV Klingenstahl mit einer Härte von 57-58 Rockwell (HRC). Die gestrahlten und längssatinierten Oberflächen erzeugen ein eindrucksvolles Two-Tone Finish auf der wuchtigen Klinge. Der massive und durchgehend gehärtete Vollerl (sog. Full Tang) endet in einem Griffabschluss, welcher als Schlagelement eingesetzt werden kann. Besonders strukturierte Griffschalen aus grünem Canvas Composite Werkstoff, Made in USA, entsprechen exakt der im Film gezeigten Version. Das Material ist extrem robust und resistent gegen mechanische Belastung.
Steter Gebrauch verleiht dem Canvas Composite ein charaktervolles Aussehen. Ein echter Blickfang ist der Handschutz aus Edelstahl, welcher mittels CNC-Technologie präzise aus einem massiven Block herausgearbeitet wird. Ein Subhilt auf der Griffunterseite bietet maximale Kontrolle in der Handhabung und trägt zum charakteristischen Erscheinungsbild des MK-9 bei. Die geknüpfte Camo-Lanyard bezieht Pohl Force aus den USA und entspricht ebenfalls genau der Filmversion.Ausgerüstet ist das Messer mit einer sehr hochwertigen Kydex®-Scheide inklusive Gürtel-Adapter und Beingurt. Zum Lieferumfang gehört ein aufwendig gestaltetes Echtheitszertifikat, ein 3D-Rubber-Patch, ein Pflegetuch und eine Sammlertasche XXL. Zur Qualitätskontrolle ist jedes Messer mit einer individuellen Seriennummer versehen.
Technische Details: 
Gesamtlänge:380 mm
Klingenlänge: 230 mm
Gewicht: 658 g
Klingenstahl: 90Cr18MoV (57-58 HRC)
Klingenoberfläche: Two-Tone Finish (satiniert | gestrahlt)
Griffmaterial: Canvas Composite
Handschutz: Edelstahl (gestrahlt)
Scheide: Kydex®-Scheide mit zwei Beingurten
Lieferumfang: 
MK-9 mit Kydex-Scheide
Beingurt
Lanyard
Sammlertasche XXL (grün)
Pohl Force Rubber Patch
Pflegetuch
zwei Bilddrucke</t>
  </si>
  <si>
    <t>03BO011</t>
  </si>
  <si>
    <t>Böker Steakmesser 2er Set</t>
  </si>
  <si>
    <t>Set aus zwei vielseitigen Steakmessern mit hochwertiger Edelstahlklinge mit scharfem Wellenschliff für ultimatives Schneiden. Die schwarzen Kunststoffgriffe liegen sicher in der Hand.Gesamtlänge: 21,8 cm
Klingenlänge: 11,0 cm
Gewicht: 29 g
Klingenstärke: 1,3 mm
Klingenmaterial: Edelstahl
Griffmaterial: Kunststoff</t>
  </si>
  <si>
    <t>09bo505</t>
  </si>
  <si>
    <t>Blade-Tech Tek-Lok Groß</t>
  </si>
  <si>
    <t>Das Tek-Lok von Blade-Tech ist ist ein innovatives, patentiertes Adaptersystem aus den USA, dass sich an verschiedene Gürtel- oder Gurtbreiten einstellen lässt. Mittels versetzter Schraubenpositionen können Messerscheiden sehr flexibel am Gürtel oder der Ausrüstung befestigt werden, sodass schneller Zugriff in verschiedenen Positionen garantiert ist. Gefertigt wird der Adapter aus Glasfaserverstärktem Kunststoff.
Beachten Sie bitte, dass das Tek-Lok grundsätzlich mit lediglich zwei Schrauben befestigt wird. Bei vielen Scheiden erfolgt dies auf einer Seite der Scheide, und nicht quer über die ganze Scheide.Gesamtlänge: 7,9 cm
Gewicht: 45 g</t>
  </si>
  <si>
    <t>02GL683</t>
  </si>
  <si>
    <t>Magnum Elk Hunter</t>
  </si>
  <si>
    <t>Das Magnum Elk Hunter überzeugt besonders mit seiner idealen Klingenlänge. Optik und Funktion zeichnen das formschöne Fahrtenmesser mit rostfreier 440A Klinge aus, die satiniert und fein ausgeschliffen ist. Der Griff wird aus tropischem Palisanderholz gefertigt, das dank seiner feinen Poren im bearbeiteten Zustand eine äußerst glatte Oberfläche besitzt. Die Fangriemenöse am Griffende gestattet es, eine Schnur oder einen Anhänger an dem Messer zu befestigen. Lieferung inklusive hochwertiger Lederscheide mit Druckknopfsicherung.Gesamtlänge: 22,0 cm
Klingenlänge: 11,0 cm
Gewicht: 154 g
Klingenstärke: 3,9 mm
Klingenmaterial: 440A
Griffmaterial: Palisanderholz
Verschluss: Feststehend</t>
  </si>
  <si>
    <t>TACTICAL EIGHT SW</t>
  </si>
  <si>
    <t>Auf der Grundlage des bekannten MK-8 entwickelte Designer Dietmar Pohl das neue Tactical Eight. Reduziert im Gewicht und kompakter in den Abmessungen ist das Tactical Eight dennoch ein ausgewachsenes und vielseitiges Einsatzmesser für den professionellen Anwender.
Die robuste 17,4 Zentimeter lange und 6 Millimeter starke Bowie-Klinge eignet sich für ein breites Anwendungsspektrum. Für eine hohe Schnitthaltigkeit und Belastbarkeit der Klinge fiel die Wahl auf den bekannten D2 Werkzeugstahl. Das Stonewashed-Finish erzeugt eine gegen Kratzer unempfindliche Oberfläche und erhöht zudem die Korrosionsfestigkeit der Klinge. Der massive und durchgehend gehärtete Vollerl trägt die Griffschalen aus widerstandsfähigem schwarzen G-10. Eine aufwendige dreidimensional gefräste Oberfläche bietet eine ausgezeichnete und sichere Handlage des Tactical Eight. Die ausgeprägte und ebenfalls gerundete Fingermulde vor dem Parierelement ermöglicht ein Vorgriff des Messer für kraftvolle oder feine Arbeiten. Eine verdeckte Bohrung am Griffende bietet die optionale Möglichkeit zur Montage einer Lanyard (im Lieferumfang enthalten).
Die Kydex®-Scheide des Tactical Eight ist mit dem bewährten und demontierbaren Gürtel-Adapter ausgestattet. Extrem robustes Nylon und Kydex® bietet die Grundlage für ein durchdachtes und belastbares Trage-System, dass den hohen Ansprüchen an ein taktisches Einsatzmesser in der Praxis vollumfänglich gerecht wird. Auch die Kydex®-Scheide des Tactical Eight ist mit einer speziellen Einlage ausgestattet, um den mechanischen Einfluss auf das Klingenfinish und damit die Entstehung von Kratzern zu reduzieren.
Die wichtigsten Eigenschaften
Gesamtlänge:314 mm
Klingenlänge: 174 mm
Klingenstärke: 6mm
Gewicht: 365 g
Klingenstahl: D2
Klingenoberfläche: Stonewashed
Griffmaterial: G-10
Scheide: Kydex®-Scheide mit Gürtel-Adapter (passend für Gürtelbreiten bis 55mm)
Lieferumfang: Tactical Eight SW mit Kydex®-Scheide, Lanyard</t>
  </si>
  <si>
    <t>TACTICAL EIGHT BK</t>
  </si>
  <si>
    <t>Auf der Grundlage des bekannten MK-8 entwickelte Designer Dietmar Pohl das neue Tactical Eight. Reduziert im Gewicht und kompakter in den Abmessungen ist das Tactical Eight dennoch ein ausgewachsenes und vielseitiges Einsatzmesser für den professionellen Anwender.
Die robuste 17,4 Zentimeter lange und 6 Millimeter starke Bowie-Klinge eignet sich für ein breites Anwendungsspektrum. Für eine hohe Schnitthaltigkeit und Belastbarkeit der Klinge fiel die Wahl auf den bekannten D2 Werkzeugstahl. Die schwarze TiN Beschichtung verhindert zuverlässig ungewünschte Lichtreflexionen. Der massive und durchgehend gehärtete Vollerl trägt die Griffschalen aus widerstandsfähigem schwarzen G-10. Eine aufwendige dreidimensional gefräste Oberfläche bietet eine ausgezeichnete und sichere Handlage des Tactical Eight. Die ausgeprägte und ebenfalls gerundete Fingermulde vor dem Parierelement ermöglicht ein Vorgriff des Messer für kraftvolle oder feine Arbeiten. Eine verdeckte Bohrung am Griffende bietet die optionale Möglichkeit zur Montage einer Lanyard (im Lieferumfang enthalten).
Die Kydex®-Scheide des Tactical Eight ist mit dem bewährten und demontierbaren Gürtel-Adapter ausgestattet. Extrem robustes Nylon und Kydex® bietet die Grundlage für ein durchdachtes und belastbares Trage-System, dass den hohen Ansprüchen an ein taktisches Einsatzmesser in der Praxis vollumfänglich gerecht wird. Auch die Kydex®-Scheide des Tactical Eight ist mit einer speziellen Einlage ausgestattet, um den mechanischen Einfluss auf das Klingenfinish und damit die Entstehung von Kratzern zu reduzieren.
Die wichtigsten Eigenschaften
Gesamtlänge:314 mm
Klingenlänge: 174 mm
Klingenstärke: 6mm
Gewicht: 365 g
Klingenstahl: D2
Klingenoberfläche: TiN Beschichtung
Griffmaterial: G-10
Scheide: Kydex®-Scheide mit Gürtel-Adapter (passend für Gürtelbreiten bis 55mm)
Lieferumfang: Tactical Eight BK mit Kydex®-Scheide, Lanyard</t>
  </si>
  <si>
    <t>TACTICAL NINE BK</t>
  </si>
  <si>
    <t>Auf der Grundlage des bekannten MK-9 entwickelte Designer Dietmar Pohl das neue Tactical Nine. Reduziert im Gewicht und kompakter in den Abmessungen ist das Tactical Nine dennoch ein ausgewachsenes und vielseitiges Einsatzmesser für den professionellen Anwender.
Die robuste 20 Zentimeter lange und 6 Millimeter starke Spearpoint-Klinge eignet sich für ein breites Anwendungsspektrum. Für eine hohe Schnitthaltigkeit und Belastbarkeit der Klinge fiel die Wahl auf den bekannten D2 Werkzeugstahl. Die schwarze TiN Beschichtung verhindert zuverlässig ungewünschte Lichtreflexionen. Der massive und durchgehend gehärtete Vollerl trägt die Griffschalen aus widerstandsfähigem schwarzen G-10. Das von Pohl Force bekannte stufenförmige Griff-Design und die charakteristische dreidimensional gefräste Oberfläche der Griffschalen bietet eine exzellente und sichere Handlage. Für kraftvolle oder feine Arbeiten ermöglicht die ausgeprägte und ebenfalls gerundete Fingermulde vor dem Parierelement ein Vorgriff des Messers. Eine verdeckte Bohrung am Griffende bietet die optionale Möglichkeit zur Montage einer Lanyard (im Lieferumfang enthalten).
Die Kydex®-Scheide des Tactical Nine ist mit dem bewährten und demontierbaren Gürtel-Adapter ausgestattet. Extrem robustes Nylon und Kydex® bietet die Grundlage für ein durchdachtes und belastbares Trage-System, dass den hohen Ansprüchen an ein taktisches Einsatzmesser in der Praxis vollumfänglich gerecht wird. Ein stufenlos größenverstellbarer Beingurt mit Steckverschluss ermöglicht die Fixierung am Oberschenkel (bei Nichtgebrauch abnehmbar) des Trägers. Der im Gurt integrierte elastische Bereich sorgt für einen hohen Tragekomfort. Auch die Kydex®-Scheide des Tactical Nine ist mit einer speziellen Einlage ausgestattet, um den mechanischen Einfluss auf das Klingenfinish und damit die Entstehung von Kratzern zu reduzieren.</t>
  </si>
  <si>
    <t>02LS043</t>
  </si>
  <si>
    <t>LionSteel B35 black</t>
  </si>
  <si>
    <t>Lion steel</t>
  </si>
  <si>
    <t>Das LionSteel B35 ist ein feststehendes Messer im handlichen Format und für vielerlei Aufgaben, insbesondere für Wanderungen und Outdoor Unternehmungen geeignet. Durch die begrenzten Abmessungen und das geringe Gewicht ist es leicht zu tragen, ohne dass seine Eigenschaften als Bushcraft-Messer beeinträchtigt werden. Die satinierte 9 cm Klinge aus Sleipner Stahl sorgt für zuverlässige Schnitthaltigkeit und lange Schärfe. Die Ergonomie des von Moletta entworfenen Griffs aus schwarzem G10 erlaubt das Messer in zwei Richtungen zu halten, entweder mit dem Daumen in Richtung Klinge oder in Richtung des Griffendes. Mit Fangriemenöse. Lieferung in stabiler Lederschiede mit Doppelnaht.Gesamtlänge: 20,3 cm
Klingenlänge: 9,0 cm
Gewicht: 137 g
Klingenstärke: 3,7 mm
Klingenmaterial: Sleipner
Griffmaterial: G10
Designer: Molletta
Hersteller Art.-Nr.: B35 GBK</t>
  </si>
  <si>
    <t>01BO569</t>
  </si>
  <si>
    <t>Böker Plus Worldwide</t>
  </si>
  <si>
    <t>Immer strengere Gesetze weltweit im Hinblick auf das Führen von Messern schränken die Auswahl von Messern immer weiter ein. Mit dem Böker Plus Worldwide nach dem Design von Chad Los Banos haben wir einen Entwurf, der mit seinen Eigenschaften zumindest in den meisten Ländern legal zu tragen sein dürfte. Das Slipjoint-Taschenmesser besitzt eine sehr kräftige Feder, um auch ohne Verriegelung ein sicheres Arbeiten zu gewährleisten, wozu auch der ausgeprägte 90°-Stop der Klinge beiträgt. Stahlplatinen und G10-Schalen bilden den Griff, der den vierfach umsetzbaren Clip trägt. Mit Fangriemenöse und hochwertigem Nylon-Etui zur Aufbewahrung.Gesamtlänge: 17,2 cm
Klingenlänge: 6,8 cm
Gewicht: 152 g
Klingenstärke: 3,0 mm
Klingenmaterial: AUS-8
Griffmaterial: G10
Designer: Chad Los Banos
Verschluss: Slipjoint</t>
  </si>
  <si>
    <t>01BO574</t>
  </si>
  <si>
    <t>Böker Plus DW-2</t>
  </si>
  <si>
    <t>In der Größe angesiedelt zwischen dem DW-1 und dem klassischen Subcom, ist das Böker Plus DW-2 mit seiner modifizierten Wharncliffeklinge als Boxcutter und für kleinere bis mittlere Schneidarbeiten die erste Wahl. Auch hier überrascht die perfekte Ergonomie, die Chad Los Banos mit seinen einzigartigen Designs auch bei einem Messer dieser Größe realisiert. Es besitzt einen Stahl-Framelock mit Zytel-Vorderschale und einen abnehmbaren Clip (Tip-up). Mit hochwertigem Nylon-Etui zur Aufbewahrung.Gesamtlänge: 10,2 cm
Klingenlänge: 4,1 cm
Gewicht: 47 g
Klingenstärke: 2,0 mm
Klingenmaterial: AUS-8
Griffmaterial: Zytel
Designer: Chad Los Banos
Verschluss: Framelock</t>
  </si>
  <si>
    <t>01OE095</t>
  </si>
  <si>
    <t>Outdoor Edge Ignitro</t>
  </si>
  <si>
    <t>Das Ignitro von Outdoor Edge ist ein praktisches Überlebensmesser mit signalfarbenem ABS-Griff. Dieser hohle Griff beherbergt eine Signalpfeife sowie einen Feuerstarter. Ein spezielles Staufach ist mit Zunder bestückt, um in Notsituationen ein Feuer entfachen zu können. Die Klinge verriegelt per Linerlock.Klingenmaterial: 7Cr17
Griffmaterial: ABS
Verschluss: Linerlock
Hersteller Art.-Nr.: IG-23C</t>
  </si>
  <si>
    <t>02RU034</t>
  </si>
  <si>
    <t>K25 Neck Knife</t>
  </si>
  <si>
    <t>Das K25 Neck Knife ist ein kleines und handliches Messer, das trotz der kompakten Dimensionen eine Menge Potenzial und Nutzwert bietet. Die Fulltang-Konstruktion besteht aus einem Stück 7Cr17MoV und ist mit einer griffigen G10-Beschalung ausgestattet. Mit Fangriemenöse, Kydexscheide und Kugelkette.Gesamtlänge: 13,9 cm
Klingenlänge: 6,7 cm
Gewicht: 60 g
Klingenstärke: 3,3 mm
Klingenmaterial: 7Cr17MoV
Griffmaterial: G10
Verschluss: Feststehend</t>
  </si>
  <si>
    <t>02RU045</t>
  </si>
  <si>
    <t>K25 Bravo</t>
  </si>
  <si>
    <t>Das Bravo ist ein robustes Outdoor- und Einsatzmesser mit gefräster G10-Beschalung und einer massiven Klinge mit ausgeprägtem Handschutz für besonders sicheres Arbeiten. Die Klinge wird aus 7Cr17MoV gefertigt. Lieferung mit Fangriemen und multifunktionaler Nylonscheide.Gesamtlänge: 25,5 cm
Klingenlänge: 12,5 cm
Gewicht: 424 g
Klingenstärke: 6,0 mm
Klingenmaterial: 7Cr17MoV
Griffmaterial: G10
Verschluss: Feststehend</t>
  </si>
  <si>
    <t>02RU066</t>
  </si>
  <si>
    <t>K25 Neck Knife 32372</t>
  </si>
  <si>
    <t>Robustes Neck Knife im Tracker-Design mit rutschfester G10-Beschalung und titanbeschichteter Klinge aus 7Cr17MoV. Vollerl mit großer Fangriemenöse, Auslieferung mit Kydexschede und Kugelkette.Gesamtlänge: 14,0 cm
Klingenlänge: 7,2 cm
Gewicht: 61 g
Klingenstärke: 2,6 mm
Klingenmaterial: 7Cr17MoV
Griffmaterial: G10
Verschluss: Feststehend</t>
  </si>
  <si>
    <t xml:space="preserve">Neck Knife </t>
  </si>
  <si>
    <t>Gefertigt aus 420 rostfreiem Stahl, schwarz beschichtet.
Die Kydexscheide hat eine Kugelkette aus Metall.
Klingenlänge 55 mm
Gesamtlänge 150 mm</t>
  </si>
  <si>
    <t>LMF FireSteel cocoshell</t>
  </si>
  <si>
    <t>LMF FireSteel orange</t>
  </si>
  <si>
    <t>LMF FireSteel black</t>
  </si>
  <si>
    <t>Schwertset 2 teilig</t>
  </si>
  <si>
    <t>Die schwarz beschichteten Klingen sind aus 420 rostfreiem Stahl und am Griffstück mit Kordel umwickelt. Mit Nylonscheide.
Gesamtlänge langes Schwert 45,5 cm
Gesamtlänge kurzes Schwert 30,5 cm</t>
  </si>
  <si>
    <t>BY03GP2</t>
  </si>
  <si>
    <t>BYRD CARA CARA 2 G-10</t>
  </si>
  <si>
    <t>Spydercos Byrd Messerlinie bietet all die Funktionalität und allen Komfort der Hauptproduktlinie zu einem Preis, der sie zweifellos zur besten Wertschöpfung in der Schneidwarenindustrie macht. In China unter Spydercos genauer Beobachtung hergestellt, haben die Byrd Messer eine bemerkenswerte Synthese von Produktionsqualität, Performance, Verlässlichkeit und Erschwinglichkeit. Alle Byrd Messer besitzen das markengeschützte Comet Loch, das eine sichere einhändige Öffnung sicherstellt.
Klinge
Länge: 95 mm
Schliff: Glatt
Stahl: 8Cr13MoV
Dicke: 3 mm
Länge geschlossen: 121 mm
Länge offen: 217 mm
Gewicht: 128 g
Griff: G-10
Stil: Klappmesser mit Back Lock</t>
  </si>
  <si>
    <t>BY03PBK2</t>
  </si>
  <si>
    <t>BYRD CARA CARA 2 LIGHTWEIGHT</t>
  </si>
  <si>
    <t>Spydercos Byrd Messerlinie bietet all die Funktionalität und allen Komfort der Hauptproduktlinie zu einem Preis, der sie zweifellos zur besten Wertschöpfung in der Schneidwarenindustrie macht. In China unter Spydercos genauer Beobachtung hergestellt, haben die Byrd Messer eine bemerkenswerte Synthese von Produktionsqualität, Performance, Verlässlichkeit und Erschwinglichkeit. Alle Byrd Messer besitzen das markengeschützte Comet Loch, das eine sichere einhändige Öffnung sicherstellt.
Klinge
Länge: 95 mm
Schliff: Glatt
Stahl: 8Cr13MoV
Dicke: 3 mm
Länge geschlossen: 121 mm
Länge offen: 217 mm
Gewicht: 96 g
Griff: Glasfaserverstärktes Nylon, schwarz
Stil: Klappmesser mit Back Lock</t>
  </si>
  <si>
    <t>JUGEND-TASCHENMESSER</t>
  </si>
  <si>
    <t>Die Klinge mit abgerundeter Spitze ist aus 420 rostfreiem Stahl und wird mittels klassischer Rückenverriegelung festgestellt. Die Griffbeschalung ist aus Zebraholz, die Backen sind aus rostfreiem Stahl.Klingenlänge 55 mm</t>
  </si>
  <si>
    <t>HALLER DAMASTMESSER IN GESCHENKBOX</t>
  </si>
  <si>
    <t>Die Klinge ist aus 71 Lagen rostfreiem Damaststahl.
Die Schneidelage ist aus 8CR13 MoV rostfreiem Stahl. Rechts und links sind je 35 Lagen rostfreier Damaststahl.
Mit Griffbeschalung aus Wurzelholz. Die Parierstange und der Endknauf sind aus rostfreiem Stahl. Mit Lederscheide.
Klingenlänge 100 mm
Gesamtlänge 210 mm</t>
  </si>
  <si>
    <t>MESSER MIT DAMASTKLINGE</t>
  </si>
  <si>
    <t>Ein handliches Jagd- und Outdoormesser. Die Griffbeschalung ist aus Wurzelholz mit Stahlbacken, welche als kräftige Parierstange ausgeformt sind. Die Integralklinge ist aus 176 Lagen Damaststahl.
Mit Lederscheide.
Klingenlänge 100 mm
Gesamtlänge 195 mm</t>
  </si>
  <si>
    <t>Ein handliches Jagd- und Outdoormesser. Die Griffbeschalung ist aus einer Kombination von Horn und Holz. Die Integralklinge ist aus 176 Lagen Damaststahl.
Mit Steckscheide aus Leder.
Klingenlänge 100 mm
Gesamtlänge 215 mm</t>
  </si>
  <si>
    <t>E.D.C. TASCHENMESSER URBAN</t>
  </si>
  <si>
    <t>Ein kräftiges, aber dennoch elegantes Taschenmesser als Alltagsbegleiter. Die Klinge ist aus 440 rostfreiem Stahl und wird mittels Lockback festgestellt.
Die Griffbeschalung ist aus Padoukholz. Zu jedem Messer gehört ein kräftiges Etui aus Nylon welches sich längs und quer am Gürtel tragen lässt.
Die Lieferung erfolgt in e.d.c. Geschenkbox.
Klingenlänge 90 mm</t>
  </si>
  <si>
    <t>MINI LEATHERNECK TANTO</t>
  </si>
  <si>
    <t>Produktinformationen "Mini Leatherneck Tanto"
Mini Leatherneck® Tanto
Es ist nicht die Größe des Hundes im Kampf; es ist die Größe des Kampfes im Hund. Dieses Zitat verkörpert die Mini Leatherneck®-Serie in jeder Hinsicht.
Die Messer sind aus 8Cr13MoV-Stahl gefertigt und in drei unterschiedlichen Klingenformen (tanto, clip point und double edge) erhältlich. Zum Schutz Deiner kostbaren Finger verfügt jedes Messer über einen breiten Handschutz aus Edelstahl, und der Griff ist optisch an die größeren Leatherneck®-Modelle von Cold Steel® angelehnt. Geliefert werden diese Messer inklusive einer stabilen Secure-Ex®-Scheide, an welcher eine Kugelkette oder ein C-Clip von Cold Steel® befestigt werden kann.
Und das Beste ist, dass sie preiswert sind!
Edelstahl 8Cr13MoV
8Cr13MoV weist ähnliche Eigenschaften wie AUS 8A auf und ist ein bewährter Stahl, der sich zur Herstellung von Arbeitsmessern hervorragend eignet. Bei Cold Steels® eigenen Tests hat sich dieser rostfreie Stahl mit hohem Kohlenstoffanteil als zäh und korrosionsbeständig erwiesen. Wie AUS 8A legt er eine gute Schnitthaltigkeit an den Tag und lässt sich auch leicht nachschärfen.
Details:
- Mini Leatherneck® Tanto
- Klingenmaterial: rostfreier Stahl 8Cr13MoV
- Gesamtlänge: ca. 17,2 cm
- Klingenlänge: ca. 8,9 cm
- Klingenstärke: ca. 3 mm
- Griff: ca. 8,3 cm lang, aus Kray-Ex™
- Gewicht: ca. 94 g
- Inkl. Secure-Ex®-Scheide
- Cold Steel® Artikelnummer: 39LSAA</t>
  </si>
  <si>
    <t>MINI LEATHERNECK Clip point</t>
  </si>
  <si>
    <t>Produktinformationen "Mini Leatherneck Clip Point"
Mini Leatherneck® Clip Point
Es ist nicht die Größe des Hundes im Kampf; es ist die Größe des Kampfes im Hund. Dieses Zitat verkörpert die Mini Leatherneck®-Serie in jeder Hinsicht.
Die Messer sind aus 8Cr13MoV-Stahl gefertigt und in drei unterschiedlichen Klingenformen (tanto, clip point und double edge) erhältlich. Zum Schutz Deiner kostbaren Finger verfügt jedes Messer über einen breiten Handschutz aus Edelstahl, und der Griff ist optisch an die größeren Leatherneck®-Modelle von Cold Steel® angelehnt. Geliefert werden diese Messer inklusive einer stabilen Secure-Ex®-Scheide, an welcher eine Kugelkette oder ein C-Clip von Cold Steel® befestigt werden kann.
Und das Beste ist, dass sie preiswert sind!
Edelstahl 8Cr13MoV
8Cr13MoV weist ähnliche Eigenschaften wie AUS 8A auf und ist ein bewährter Stahl, der sich zur Herstellung von Arbeitsmessern hervorragend eignet. Bei Cold Steels® eigenen Tests hat sich dieser rostfreie Stahl mit hohem Kohlenstoffanteil als zäh und korrosionsbeständig erwiesen. Wie AUS 8A legt er eine gute Schnitthaltigkeit an den Tag und lässt sich auch leicht nachschärfen.
Details:
- Mini Leatherneck® Clip Point
- Klingenmaterial: rostfreier Stahl 8Cr13MoV
- Gesamtlänge: ca. 17,2 cm
- Klingenlänge: ca. 8,9 cm
- Klingenstärke: ca. 3 mm
- Griff: ca. 8,3 cm lang, aus Kray-Ex™
- Gewicht: ca. 94 g
- Inkl. Secure-Ex®-Scheide
- Cold Steel® Artikelnummer: 39LSAB</t>
  </si>
  <si>
    <t>CST-62JL</t>
  </si>
  <si>
    <t>TASCHENMESSER RAJAH II, AUS 10A STAHL</t>
  </si>
  <si>
    <t>Produktinformationen "Taschenmesser Rajah II, AUS 10A Stahl"
Rajah® II, Kukri-Klappmesser mit Klinge aus rostfreiem AUS 10A-Stahl
2018er Modell
Mit seiner breiten, robusten Klinge ist ein gutes Kukri ein herausragendes, vielseitiges Werkzeug, das selbst durch die härtesten Materialien schneiden, hauen und reißen kann. Die Messer der Cold Steel® Rajah®-Serie wurden vom Messermacher Andrew Demko entworfen und avancierten innerhalb kürzester Zeit zu Fan-Favoriten und Klassikern!
Ihre einzigartig geformten Klingen sind in zwei unterschiedlichen Größen erhältlich und verfügen über eine dünne Schneide, die genau im richtigen Winkel flachgeschliffen ist, so dass sie tief schneiden können und eine viel höhere Schnittleistung als andere Messer gleicher Größe und Gewichtsklasse besitzen.
Die Griffform weist Ähnlichkeiten mit der Linienführung der traditionellen Kukri-Messer auf, ist aber mit zusätzlichen, strategisch platzierten Wölbungen und Fingermulden ausgestattet, die für sicheren Halt und optimale Kontrolle sorgen.
Die Messer der Rajah®-Serie wurden außerdem mit Cold Steels® weltberühmtem Tri-Ad®-Verriegelungsmechanismus ausgerüstet, der sich immer wieder als unfassbar stabil und schlagfest erwiesen hat.
Teste die Rajah®-Messer und erfahre die Macht eines Kukri, das in Deine Tasche passt!
2018er Modell - Das Rajah® II mit Klinge aus AUS 10A-Stahl ersetzt das nicht mehr produzierte Vorgängermodell aus CTS® BD1 (Artikelnr. CST-62KGC-2017).
Japanischer Edelstahl AUS 10A
Japanischer AUS 10A-Stahl könnte als der große Bruder von AUS 8A-Stahl, welcher von Cold Steel® seit über drei Jahrzenten verwendet wird, bezeichnet werden. AUS 10A ist eine Hochleistungs-Edelstahllegierung mit denselben Eigenschaften wie AUS 8A und noch einigen mehr obendrauf! Dieser Stahl eignet sich hervorragend zur Herstellung von Arbeitsmessern - zäh, korrosionsbeständig, leicht nachzuschärfen - und ist dafür bekannt, aufgrund seines höheren Kohlenstoffgehalts eine noch bessere Schnitthaltigkeit als AUS 8A zu besitzen.
Details:
- Rajah® II, 2018er Modell
- Klingenmaterial: Japanischer Edelstahl AUS 10A mit Stonewash-Finish
- Gesamtlänge: ca. 35,6 cm
- Klingenlänge: ca. 15,2 cm
- Klingenstärke: ca. 4,8 mm
- Griff: ca. 20,3 cm lang, aus Griv-Ex™
- Mit Taschen- bzw. Gürtelclip aus rostfreiem Stahl
- Gewicht: ca. 380 g
- Cold Steel® Artikelnummer: 62JL</t>
  </si>
  <si>
    <t>CST-21ST</t>
  </si>
  <si>
    <t>TASCHENMESSER SPARTAN, AUS 10A STAHL</t>
  </si>
  <si>
    <t>Produktinformationen "Taschenmesser Spartan, AUS 10A Stahl"
Spartan, Taschenmesser mit Klinge aus rostfreiem AUS 10A-Stahl
2019er Modell
Das Spartan wurde vom berühmten Messermacher Andrew Demko entworfen und gehört zu den beliebtesten Cold Steel® Taschenmessern.
Seine extrem scharfe Klinge mit Stonewash-Finish ist AUS 10A-Stahl gefertigt und erinnert in Aussehen und Schnittleistung an das weltberühmte Kukri. Der aus Griv-Ex™ spritzgegossene, von der Kopis inspirierte Griff mit gehärteten Stahlplatinen und die berühmte Tri-Ad®-Arretierung von Cold Steel® sorgen für ein unglaubliches Sicherheitsniveau.
Dank Demkos patentierter Daumenscheibe lässt sich das Spartan wie ein konventionelles Einhandmesser aufklappen, oder kann beim Herausziehen aus der Tasche blitzschnell geöffnet werden!
2019er Modell - Das Spartan mit Klinge aus AUS 10A-Stahl ersetzt das nicht mehr produzierte Vorgängermodell aus CTS® BD1 (Artikelnr. CST-21SC).
Edelstahl AUS 10A
In puncto Stärke und Zähigkeit verfügt AUS 10A über dieselben Qualitäten wie AUS 8A. Allerdings bietet dieser Stahl den außerordentlichen Plus einer 20%igen höheren Schnitthaltigkeit. Diese Eigenschaft, länger scharf bleiben zu können, verschafft ihm entscheidende Leistungsvorteile gegenüber anderen gebräuchlicheren Edelstahlsorten.
Details:
- Klingenmaterial: Japanischer Edelstahl AUS 10A
- Gesamtlänge: ca. 26,7 cm
- Klingenlänge: ca. 11,4 cm
- Klingenstärke: ca. 4 mm
- Griff: ca. 15,2 cm lang, aus Griv-Ex™ mit Stahlplatinen
- Mit umsetzbarem Taschen- bzw. Gürtelclip
- Gewicht: ca. 255 g
- Cold Steel® Artikelnummer: 21ST</t>
  </si>
  <si>
    <t>Filetiermesser Set 5-teilig</t>
  </si>
  <si>
    <t>jenzi</t>
  </si>
  <si>
    <t>Filetiermesser Set 5-teilig - Dieses 5-teilige Filetiermesser Set beinhaltet alles, was man zum fachmännischen Filetieren und Versorgen der Fische benötigt. Neben einem Messer / Fischschupper, beinhaltet es zwei unterschiedlich lange, sehr scharfe Filetiermesser sowie den dazu passenden Messerschärfer. Darüber hinaus ist im Lieferumfang ein Filetierbrett/Schneidebrett enthalten. Die Lieferung erfolgt in einem speziellen Koffer, in welchem alle Teile einrasten und sicher gelagert und transportiert werden können. Inhalt: Messer / Fischschupper Kombination (Klingenlänge: ca. 13 cm) Filetiermesser (Klingenlänge: ca. 15,5 cm) Filetiermesser (Klingenlänge: ca. 20,1 cm) Messerschärfer Filetierbrett Messerkoffer</t>
  </si>
  <si>
    <t>Mach Tac 4</t>
  </si>
  <si>
    <t>Klingenlänge: 400 mm
Grifflänge: 150 mm
Gesamtlänge: 550 mm
Gewicht: 670 g
Versandgewicht: 740 g</t>
  </si>
  <si>
    <t>TASCHENMESSERBOX 9 TLG.</t>
  </si>
  <si>
    <t>TASCHENMESSER BLUE SPIDER</t>
  </si>
  <si>
    <t>Ein außergewöhnliches Taschenmesser mit aufgesetzter Spinne sowohl auf der Klinge, als auch auf dem Griff.
Außerdem ist das komplette Messer blau eloxiert.
Die Klinge ist aus 420 rostfreiem Stahl, auch der Griff ist aus Stahl. Mit Liner-Lock und Gürtelclip.
Klingenlänge 95 mm</t>
  </si>
  <si>
    <t>JUGEND-TASCHENMESSER MIT ABGERUNDETER KLINGENSPITZE</t>
  </si>
  <si>
    <t>Einhandtaschenmesser mit feststellbarer Klinge aus 420 rostfreiem Stahl, Holzgriff und Clip.
Klingenlänge 60 mm</t>
  </si>
  <si>
    <t>JUGENDMESSER "MEIN MESSER"</t>
  </si>
  <si>
    <t>Ein Messer für Kinder, mit Klingenätzung „Mein Messer“.
Der Griff aus Lederscheiben liegt sicher in der Hand. Die kräftige Stahl-Parierstange schützt die Kinderhand vor dem Abrutschen. Die Klinge ist aus 420 rostfreiem Stahl und abgerundet. Mit stabiler Nylonscheide.
Klingenlänge 95 mm
Gesamtlänge 200 mm</t>
  </si>
  <si>
    <t>BLACKFIELD P.I.K.E. 02</t>
  </si>
  <si>
    <t>Performance Integral Knife Edge
Ein Karambit Messer aus titanbeschichtetem, 440 rostfreiem Stahl. Als Griffauflage ist robustes G10 aufgeschraubt, welches mit Rillen versehen ist, für eine bessere Handlage.
Einschließlich Kydexscheide mit Metallclip.
Klingenlänge 110 mm
Gesamtlänge 230 mm
Gewicht 190 g</t>
  </si>
  <si>
    <t>01RU059</t>
  </si>
  <si>
    <t>Tokisu Folder 18448</t>
  </si>
  <si>
    <t>Unter der Sub-Marke Tokisu präsentiert K25 diesen eleganten Tactical-Folder mit einem Griff aus G10 und Kohlefaser. Die Klinge ist kugelgelagert und öffnet per Flipper oder Daumenknopf. Das edle Erscheinungsbild wird betont durch die fein satinierte Klinge und die blaue Hardware des Messers. Mit Clip.Gesamtlänge: 23,5 cm
Klingenlänge: 10,0 cm
Gewicht: 205 g
Klingenstärke: 3,6 mm</t>
  </si>
  <si>
    <t>Je 3 Stück mit den Griffbeschalungen: Zebraholz, Ebenholz und Pakkaholz.
Die Klingen sind aus 420 rostfreiem Stahl und arretieren mittels Lockback.
Klingenlänge 60 mm</t>
  </si>
  <si>
    <t>DAMAST-TASCHENMESSER MIT GRIFFBESCHALUNG AUS BÜFFELHORN</t>
  </si>
  <si>
    <t>Die Klinge ist aus 71 Lagen rostfreiem Damast, die Kernlage besteht aus 8Cr13MoV, ebenfalls rostfrei. Auch die Backen sind aus Damaststahl gefertigt. Die Arretierung erfolgt mittels klassischem Lockback.
Die Griffbeschalung ist aus Büffelhorn.
Die Lieferung erfolgt in Holz-Geschenkbox.
Klingenlänge 70 mm</t>
  </si>
  <si>
    <t>DAMAST -TASCHENMESSER MIT HIRSCHHORNGRIFF</t>
  </si>
  <si>
    <t>Die Klinge ist aus 71 Lagen rostfreiem Damast, die Kernlage besteht aus 8Cr13MoV, ebenfalls rostfrei. Auch die Backen sind aus Damaststahl gefertigt. Die Arretierung erfolgt mittels klassischem Lockback.
Die Griffbeschalung ist aus Hirschhorn.
Die Lieferung erfolgt in einer Holz-Geschenkbox.
Klingenlänge 60 mm</t>
  </si>
  <si>
    <t>DAMAST TASCHENMESSER HIRSCHHORN</t>
  </si>
  <si>
    <t>Handlich, elegant und kompakt ist dieses Damast-Taschenmesser.
Die Klinge und die Backen sind aus 71 Lagen rostfreiem Damaststahl, die Schneidelage ist aus 8CR13 MoV, ebenfalls rostfrei. Die Griffbeschalung ist aus Hirschhorn. Die Klinge ist nicht feststellbar. Ein Highlight dieses Taschenmessers ist die feinst verzierte Feder, welche sich am Klingenrücken fortsetzt.
Klingenlänge 55 mm</t>
  </si>
  <si>
    <t xml:space="preserve">	
DAMAST-TASCHENMESSER OLIVENHOLZ</t>
  </si>
  <si>
    <t>Handlich, elegant und kompakt ist dieses Damast-Taschenmesser.
Die Klinge und die Backen sind aus 71 Lagen rostfreiem Damaststahl, die Schneidelage ist aus 8CR13 MoV, ebenfalls rostfrei. Als Griffbeschalung kommt edles Olivenholz zum Einsatz. Die Klinge ist nicht feststellbar. Ein Highlight dieses Taschenmessers ist die feinst verzierte Feder, welche sich am Klingenrücken fortsetzt.
Klingenlänge 55 mm</t>
  </si>
  <si>
    <t xml:space="preserve">	BY03PSBK2</t>
  </si>
  <si>
    <t>BYRD CARA CARA 2 LIGHTWEIGHT TEILWELLE</t>
  </si>
  <si>
    <t>SOG-PP1001-CP</t>
  </si>
  <si>
    <t>POWER PINT</t>
  </si>
  <si>
    <t>Das PowerPint ist ein Mini-Multifunktionswerkzeug, das volle Funktionalität bietet. Das PowerPint wird mit 18 Werkzeugen und einem magnetischen Sechskant-Bithalter geliefert. Und natürlich verfügt es über den Compound Leverage von SOG, der ein sanftes Öffnen und Schließen und eine erhöhte Griffkraft bietet. Ein Allround-Multifunktionswerkzeug, das sich hervorragend in Ihrer Tasche, Ihrem Rucksack, auf der Werkzeugbank oder im Haus eignet.
Stahl: 5CR15MOV
Länge offen: 12.7 mm
Gewicht: 119 g
Griff: Rostfreier Stahl
Stil: Multitool</t>
  </si>
  <si>
    <t>SOG-PA2001-CP</t>
  </si>
  <si>
    <t>POWER ACCESS DELUXE - SILVER</t>
  </si>
  <si>
    <t>Der PowerAccess Deluxe verfügt über die meisten Tools aller bisherigen SOG-Produkte (21). Der Deluxe verfügt über eine SOG-Verbundhebelwirkung für maximale Griffkraft untergebracht in einer Nylonscheide mit 12-teiligem Sechskant-Bit-Kit.
Stahl: 5CR15MOV
Länge offen: 17.3 cm
Gewicht: 247 g
Griff: Rostfreier Stahl
Stil: Multitool</t>
  </si>
  <si>
    <t>SOG-PL1001-CP</t>
  </si>
  <si>
    <t>POWERLITRE</t>
  </si>
  <si>
    <t>Das PowerLitre ist ein Mini-Multitool mit vollem Funktionsumfang, einschließlich des ersten SOG-Multitools mit Korkenzieher. Das PowerLitre ist mit einem magnetischen Sechskant-Bithalter ausgestattet und verfügt natürlich über den Compound Leverage von SOG, der ein sanftes Öffnen und Schließen und eine erhöhte Griffkraft bietet, die sowohl in der Zange als auch im Korkenzieher verwendet wird. Es ist ein Multitool, das sich hervorragend in Ihrer Tasche, Ihrem Rucksack, auf der Werkzeugbank oder im Haus eignet.
Stahl: 5CR15MOV
Länge offen: 12.7 cm
Gewicht: 130 g
Griff: Rostfreier Stahl
Stil: Multitool</t>
  </si>
  <si>
    <t>01MB049DAM</t>
  </si>
  <si>
    <t>Magnum Damascus Countess</t>
  </si>
  <si>
    <t>Ein hochwertiges und elegantes Messer. Die Klinge und der Backen bestehen aus 37 Lagen Damast. Der Griff ist aus dem dunkel gemaserten Ebenholz gefertigt, das ausgezeichnet zu dem exquisiten Auftritt dieses Messers passt. Die Klinge verfügt über einen Nagelhau und einen Backlock-Verschluss. Ein edles Messer, das auch im Alltag mit seiner Zuverlässigkeit begeistert.Gesamtlänge: 13,1 cm
Klingenlänge: 5,5 cm
Gewicht: 48 g
Klingenstärke: 2,3 mm
Klingenmaterial: Damast
Griffmaterial: Ebenholz
Verschluss: Backlock</t>
  </si>
  <si>
    <t>01MB171DAM</t>
  </si>
  <si>
    <t>Magnum Damascus Mistress</t>
  </si>
  <si>
    <t>Ein edles und hochwertiges Messer, um das man Sie beneiden wird. Die Klinge ist aus echtem Damast mit 71 Lagen gefertigt. Die Backen werden ebenfalls aus dem kostbaren Material produziert. Bei der Griffbeschalung wurde ebenfalls nicht gespart, hier kommt hochwertiges Olivenholz zum Einsatz. Der Lockback verhindert ein versehentliches Einklappen der Klinge. Ohne Clip.Gesamtlänge: 14,0 cm
Klingenlänge: 6,0 cm
Gewicht: 65 g
Klingenstärke: 2,2 mm
Klingenmaterial: Damast
Griffmaterial: Olivenholz
Verschluss: Backlock</t>
  </si>
  <si>
    <t>01RY818DAM</t>
  </si>
  <si>
    <t>Magnum Caveman Damast</t>
  </si>
  <si>
    <t>Das klassische Magnum Caveman ist mit einer Klinge aus 37-lagigem Damast ausgestattet und überzeugt mit einer prähistorischen Anmutung. Die vordere Holzschale ist mit dekorativen Zeichnungen versehen, die an urzeitliche Höhlenmalerei erinnert und eine vorgeschichtliche Jagdszene zeigt. Die weltweit zu bestaunende Höhlenkunst entstand bereits vor 40.000 Jahren in der Steinzeit, und schon damals war es ein Urbedürfnis des Menschen, sich in Bildern auszudrücken. Die Damastklinge des urgeschichtlich Taschenmesser wird per Nagelhau geöffnet und von einem stabilen Backlock zuverlässig arretiert. Mit Fangriemenöse.Gesamtlänge: 19,4 cm
Klingenlänge: 8,2 cm
Gewicht: 118 g
Klingenstärke: 2,7 mm
Klingenmaterial: Damast
Griffmaterial: Holz
Verschluss: Backlock</t>
  </si>
  <si>
    <t>SOG-PA2002-CP</t>
  </si>
  <si>
    <t>POWER ACCESS DELUXE - BLACK</t>
  </si>
  <si>
    <t>Der PowerAccess Deluxe verfügt über die meisten Tools aller bisherigen SOG-Produkte (21). Der Deluxe verfügt über eine SOG-Verbundhebelwirkung für maximale Griffkraft untergebracht in einer Nylonscheide mit 12-teiligem Sechskant-Bit-Kit. Ursprünglich in Satin-Finish erhältlich, jetzt in verstohlenem Schwarz.
Stahl: 5CR15MOV
Länge offen: 17.3 cm
Gewicht: 247 g
Griff: Rostfreier Stahl
Stil: Multitool</t>
  </si>
  <si>
    <t>01FX962</t>
  </si>
  <si>
    <t>FoxEdge Sparrow Aluminium Blue</t>
  </si>
  <si>
    <t>FoxEdge</t>
  </si>
  <si>
    <t>Unter der Marke FoxEdge präsentiert Fox Knives außergewöhnliche Messer, die mit durchdachtem Design, cleverer Materialwahl und kompromissloser Performance überzeugen. Vom namensgebenden Sperling übernimmt das Sparrow die schnabelförmige Klinge aus rostfreiem 9Cr13 Edelstahl, die mit Beharrlichkeit und Fleiß die täglichen Schneidarbeiten in Angriff nimmt. Daumenöffnung und Liner Lock unterstreichen den hohen Alltagsnutzen, während der blau anodisierte Aluminiumgriff mit bronzefarbenen Schrauben ergonomisch als auch optisch punktet. Mit Fangriemenöse und Tip-Up Clip (r).Gesamtlänge: 19,5 cm
Klingenlänge: 8,5 cm
Klingenstärke: 2,5 mm
Klingenmaterial: Edelstahl
Griffmaterial: Aluminium
Verschluss: Linerlock</t>
  </si>
  <si>
    <t>05ZS518</t>
  </si>
  <si>
    <t>Magnum Hattori Hanzo Set</t>
  </si>
  <si>
    <t>Diese Schwerter sind einem der bekanntesten Samurai, Hattori Hanzo, gewidmet, der 1541 in der Provinz Mikawa geboren wurde. In der Nachbarprovinz Koga ist die Geburtsstätte des Ninjutsu und auch der Ninja. Unter diesen Voraussetzungen wuchs er zu einem ausgezeichneten Kämpfer heran. Seine erste Schlacht schlug er im Alter von nur 16 Jahren und gelangte so schnell zu Lob und Anerkennung. Die Klingen bestehen aus Kohlenstoffstahl und verfügen über einen dekorativen Anschliff. Die traditionell gewickelten Griffe sind mit Menukis und einer rochenhautartigen Unterlage versehen. Die Tsubas aus Zinkdruckguss sind alle mit gleichmäßigen Durchbrüchen versehen. An den Scheiden sind sämtliche Beschläge mit Ornamenten geschmückt. Dieses umfangreiche Set besteht aus einem Tanto, einem Wakizashi, einem Katana und einem schwarz lackiertem Schwertständer. Tanto: Gesamtlänge 53 cm. Klinge 28 cm. Stärke 4 mm. Gewicht 650 g. Wakizashi: Gesamtlänge 78 cm. Klinge 48 cm. Stärke 4 mm. Gewicht 900 g. Katana: Gesamtlänge 103 cm. Klinge 68 cm. Stärke 4 mm. Gewicht 1050 g.
Deko- bzw. Sammlerschwert, nicht zum Einsatz geeignet.</t>
  </si>
  <si>
    <t xml:space="preserve"> CST-27BS</t>
  </si>
  <si>
    <t>TASCHENMESSER RECON 1 SPEAR PT., S35VN, SCHWARZ</t>
  </si>
  <si>
    <t>Produktinformationen "Taschenmesser Recon 1 Spear Pt., S35VN, Schwarz"
Recon 1® Spear Point, Taschenmesser mit Klinge aus CPM S35VN-Stahl
Glatte Schneide, schwarzer Griff
In den USA erfreuen sich die Messer der Recon 1®-Serie großer Beliebtheit bei Militär, Polizei und Rettungskräften sowie bei der Zivilbevölkerung. In der Welt der taktischen Messer setzen sie neue Maßstäbe und haben ihren zuverlässigen und starken Ruf wohl verdient. Die Recon 1®-Messer sind in verschiedenen Klingenlängen erhältlich. Bei deren Konzeption wurde jeder ihrer Bestandteile so entwickelt, um sie so langlebig und leistungsfähig wie nur irgend möglich zu gestalten. Alle Modelle dieser facettenreichen Kollektion sind mit Cold Steels® weltweit bekanntem Tri-Ad®-Verriegelungsmechanismus ausgerüstet, der Deinen kostbaren Fingern selbst unter widrigsten Bedingungen optimalen Schutz bietet.
Das Recon 1 ist mit einem G-10-Griff mit kleinem, besonders robustem Taschenclip ausgestattet. Für Linkshänder ist hier anzumerken, dass der Clip durchaus beidhändig einsetzbar ist. Außerdem, dank seiner geringen Größe, wird dieser Clip auch bei längerem Gebrauch des Messers die Handfläche weder abschürfen noch reizen. Mit seiner stark geriffelten Oberfläche sorgt der kunstvoll geformte Griff für fantastische Griffigkeit. Und zum möglichst bequemen Öffnen ist jedes Messer mit einer Daumenscheibe ausgerüstet.
2019er Modell - Das Recon 1® Spear Point mit Klinge aus S35VN-Stahl und DLC-Beschichtung ersetzt das nicht mehr produzierte Vorgängermodell aus CTS® XHP (Artikelnr. CST-27TLCS).
CPM S35VN Stahl
Dies ist ein außerordentlicher amerikanischer Superstahl. CPM S35VN ist nicht nur äußerst zäh und beständig, sondern lässt sich auch sehr gut bis zur Rasiermesserschärfe schleifen und hält diese Schärfe eine lange Zeit. Mit seiner gleichförmigen Mikrostruktur bietet dieser sehr feinkörnige Pulverstahl beständige, gute Eigenschaften: haltbar, zuverlässig, im hohen Maße korrosionsfest, zäh und hart auch bei dünn geschliffenen Schneiden. Ein guter, vielseitiger Stahl für Messer und Werkzeuge der Spitzenqualität.
Details:
- Recon 1® SPEAR POINT, glatte Schneide, schwarzer Griff
- Klingenmaterial: CPM S35VN-Stahl mit DLC-Beschichtung
- Gesamtlänge: ca. 23,8 cm
- Klingenlänge: ca. 10,2 cm
- Klingenstärke: ca. 3,5 mm
- Griff: ca. 13,6 cm lang, aus G-10
- Mit umsetzbarem Taschen- bzw. Gürtelclip
- Gewicht: ca. 150 g
- Cold Steel® Artikelnummer: 27BS</t>
  </si>
  <si>
    <t>BLACKFIELD BULLDOZER</t>
  </si>
  <si>
    <t xml:space="preserve">	
BLACKFIELD BULLDOZER
Leicht gebogen präsentiert sich das kräftige Einhandtaschenmesser BULLDOZER und ist für vielfältige Einsatzzwecke geeignet. Sowohl die Klinge, als auch der Griff sind titanbeschichtet. Am Griffende befindet sich eine Aussparung für einen Fangriemen und auf der Rückseite des Griffes ist ein praktischer Gürtelclip angebracht. Der Flipper dient im ausgeklappten Zustand außerdem als zuverlässiger Handschutz.
Klingenstahl: 440 rostfrei
Griffmaterial: Metall / Carbon
Öffnungshilfe: Daumenpin / Flipper
Arretierung: Linerlock
Klingenlänge: 80 mm
Gesamtlänge: 200 mm
Gewicht: 260 g</t>
  </si>
  <si>
    <t>Haller TEXAS BOWIE</t>
  </si>
  <si>
    <t xml:space="preserve">TEXAS BOWIE
Ein wuchtiges Bowiemesser mit Holzgriff. Parierstange und Endknauf sind aus rostfreiem Stahl.
Klingenstahl: 420 rostfrei
Griffmaterial: Pakkaholz
Scheide: Leder
Klingenlänge: 255 mm
Gesamtlänge: 390 mm
Gewicht: 360 g
</t>
  </si>
  <si>
    <t>Haller BOWIEMESSER</t>
  </si>
  <si>
    <t>BOWIEMESSER
Ein einfaches Bowiemesser mit Holzgriff. Parierstange und Endknauf sind aus Messing.
Klingenstahl: 420 rostfrei
Griffmaterial: Holz / Messing
Scheide: Leder
Klingenlänge: 265 mm
Gesamtlänge: 410 mm
Gewicht: 580 g</t>
  </si>
  <si>
    <t>Haller JACKSON'S BOWIE PAKKA</t>
  </si>
  <si>
    <t>JACKSON'S BOWIE PAKKA
Ein traditionelles Bowiemesser. Die elegant geschwungene Parierstange und der verzierte Endknauf sind aus rostfreiem Stahl. Am Endknauf befindet sich eine Öse für einen Fangriemen.
Klingenstahl: 440 rostfrei
Griffmaterial: Pakka Wood
Scheide: Leder
Klingenlänge: 270 mm
Gesamtlänge: 410 mm
Gewicht: 580 g</t>
  </si>
  <si>
    <t>RA2200110</t>
  </si>
  <si>
    <t>RAPALA - SOFT GRIP FILETIERMESSER 15CM BP706SH1</t>
  </si>
  <si>
    <t>Rapala</t>
  </si>
  <si>
    <t>RAPALA - SOFT GRIP FILETIERMESSER 15CM
Produktmerkmale:
Komfortabler, ergonomischer und rutschfester, geformter Griff
Grifflänge: 12cm / Klingenlänge: 15cm
Sehr scharfe Klinge, die ein einfaches Schneiden ermöglicht.
Sehr ausgeprägte Schneide, die aus einer Legierung aus Kohlenstoff, Molybdän und Chrom hergestellt wird.
Progressive zweischneidige Klinge sorgt für Festigkeit und Stabilität.
Flexibel und widerstandsfähig für feine Schnitte.
Schutzbügel
Präsentation in einer Blister Verpackung.
Lieferung mit Messerschärfer + Etui</t>
  </si>
  <si>
    <t>RA2200111</t>
  </si>
  <si>
    <t>RAPALA - SOFT GRIP FILETIERMESSER 19CM BP707SH1</t>
  </si>
  <si>
    <t>RAPALA - SOFT GRIP FILETIERMESSER 19CM
Produktmerkmale:
Komfortabler, ergonomischer und rutschfester, geformter Griff
Grifflänge: 12cm / Klingenlänge: 19cm
Sehr scharfe Klinge, die ein einfaches Schneiden ermöglicht.
Sehr ausgeprägte Schneide, die aus einer Legierung aus Kohlenstoff, Molybdän und Chrom hergestellt wird.
Progressive zweischneidige Klinge sorgt für Festigkeit und Stabilität.
Flexibel und widerstandsfähig für feine Schnitte.
Schutzbügel
Präsentation in einer Blister Verpackung.
Lieferung mit Messerschärfer + Etui</t>
  </si>
  <si>
    <t>CST-26B6</t>
  </si>
  <si>
    <t>SNL-03SESW</t>
  </si>
  <si>
    <t>Schnitzel TRI Outdoormesser, Special Edition</t>
  </si>
  <si>
    <t>Schnitzel</t>
  </si>
  <si>
    <t>Battle-Merchant</t>
  </si>
  <si>
    <t>Produktinformationen "Schnitzel TRI Outdoormesser, Special Edition"
Schnitzel TRI Outdoormesser, Special Edition
Das Schnitzel TRI ist schon ein gelungenes Allzweck-Messer, doch Schnitzel Germany war dies nicht genug! Für besonders aktive Outdoor-Freunde haben wir beschlossen, das TRI noch "bushcraftiger", zäher, führiger und praktischer zu gestalten, um dein Abenteuer noch weiter zu optimieren!
Das Ganze fängt mit der Wahl des Klingenstahls an. Wir haben uns hier für den CPM 3V von Crucible Industries LLC aus den USA entschieden. Dieser pulvermetallurgische Werkzeugstahl (59-61 HRC) ist dafür bekannt, dass er extrem zäh, verschleißfest und korrosionsbeständig ist. Hinzu kommt eine hervorragende Schnitthaltigkeit, die je nach Gebrauch lang anhaltend ist. Der 3V Stahl kann aber durchaus rosten, da dieser nicht auf Korrosionsbeständigkeit optimiert wurde. Daher sollte man dieses Messer pflegen, um Korrosion vorzubeugen, obwohl der Chromanteil über 7% liegt. Sollte das Messer mit der Zeit stumpf werden, empfehlen wir das Schleifen mit Diamantsteinen.
Um dem Special TRI noch mehr Einsatzmöglichkeiten zu geben, verfügt die Full-Tang-Klinge über einen scharfkantigen Schlagknauf am Ende, der beim Bushcrafting vielseitige Aufgaben übernehmen kann. An der Öse des Schlagknaufes ist für zusätzliche Sicherheit bei der Arbeit ein schwarzer Paracord-Fangriemen angebracht, um das Abrutschen zu vermeiden. Ein weiteres Feature ist der hier im speziellen scharfkantig gehaltene Klingenrücken, mit dem es ein Kinderspiel ist, Funken zu erzeugen und ein Lagerfeuer zu entfachen. Die Klinge selbst hat ein leichtes Stonewash-Finish erhalten, um es ein wenig unempfindlicher gegen Kratzer zu machen.
Die Griffschalen des Special Tri bestehen aus konturierten Griffschalen aus dunklem grün-braunen Micarta, welches, passend zum Stahl, sehr robuste Eigenschaften hat und farblich sehr gut mit der Stonewash-Klinge harmoniert. Die Konturierung sorgt für einen sicheren Griff, einer angenehmen Handlage und macht dieses TRI im Vergleich zu den Varianten mit G-10 Griff noch führiger.
Die ultrarobuste Kydex-Scheide mit ergonomischer Daumenrampe ist erhalten geblieben und hat für die Special Edition einen Feuerstahl nebst Kydex-Halterung spendiert bekommen. Und wie alle aktuellen TRIs verfügen die Messer über ein Dangler-Tragesystem, mit dem sich das Messer ganz bequem an der Schlaufe am Gürtel tragen lässt, ohne zu stören oder zu dick aufzutragen. In der Hocke oder auch im Sitzen, das TRI ist so jederzeit griffbereit.
Details:
- Klingenmaterial: CPM 3V Werkzeugstahl mit Stonewash-Finish
- Griffmaterial: Micarta in dunklem Grünbraun
- Gesamtlänge: ca. 22,8 cm
- Klingenlänge: ca. 10,4 cm
- Klingenstärke: ca. 4 mm
- Grifflänge: ca. 12,4 cm
- Griffstärke: ca. 14,5 mm
- Inkl. Scheide aus Kydex mit Dangler-Trageystem und Feuerstahl
- Gewicht: ca. 170 g (ca. 270 g mit Scheide)</t>
  </si>
  <si>
    <t>CS-17DB</t>
  </si>
  <si>
    <t>Kyoto II, Kleines Festehendes Messer</t>
  </si>
  <si>
    <t>Cold Steel</t>
  </si>
  <si>
    <t>Produktinformationen "Kyoto II, Kleines Festehendes Messer"
Kyoto II, Kleines Festehendes Messer mit verstärkter Spitze
So sehr Cold Steel® die gewaltige Schneid- und Durchschlagskraft großer Messer mit feststehender Klinge auch liebt, ist es nicht zu leugnen, dass solche Messer oft unerwünschte Aufmerksamkeit oder Kommentare auf sich ziehen, wenn man sie bei sich trägt. Kleine feststehende Messer wie das Kyoto fallen hingegen aufgrund ihrer geringeren Größe und harmloseren Optik weniger auf.
Die Kyoto-Messer sind entweder mit traditioneller (tanto) oder mit verstärkter (straight back) Klingenform erhältlich und bieten ein verblüffendes Schneid- und Stoßpotential, das ihre bescheidene Statur nicht vermuten lässt. Bei jedem Messer hat die stabile, kräftige Klinge einen breiten Vollerl, der durch den Griff hindurch geht. Dazu kommen ein Handschutz aus Edelstahl und äußerst rutschfeste Kray-Ex™-Griffschalen, die die traditionelle Schnurwicklung der japanischen Schwertgriffe optisch nachahmen.
Die schlanke, bequeme Scheide ist vielseitig einsetzbar. Daran kann man eine Kugelkette oder ein C-Clip von Cold Steel® befestigen und so das Messer auf verschiedene Arten tragen.
Edelstahl 8Cr13MoV
8Cr13MoV weist ähnliche Eigenschaften wie AUS 8A auf und ist ein bewährter Stahl, der sich zur Herstellung von Arbeitsmessern hervorragend eignet. Bei Cold Steels® eigenen Tests hat sich dieser rostfreie Stahl mit hohem Kohlenstoffanteil als zäh und korrosionsbeständig erwiesen. Wie AUS 8A legt er eine gute Schnitthaltigkeit an den Tag und lässt sich auch leicht nachschärfen.
Details:
- Kyoto II, verstärkte Spitze (Straight-Back-Klinge)
- Klingenmaterial: rostfreier Stahl 8Cr13MoV
- Gesamtlänge: ca. 17,2 cm
- Klingenlänge: ca. 8,6 cm
- Klingenstärke: ca. 3 mm
- Griff: ca. 8,6 cm lang, aus Kray-Ex™
- Gewicht: ca. 91 g
- Inkl. Secure-Ex®-Scheide
- Cold Steel® Artikelnummer: 17DB</t>
  </si>
  <si>
    <t>CS-17DA</t>
  </si>
  <si>
    <t>Kyoto I, Kleines Festehendes Messer</t>
  </si>
  <si>
    <t>Produktinformationen "Kyoto I, Kleines Festehendes Messer"
Kyoto I, Kleines Festehendes Messer mit Japanischer Tantoklinge
So sehr Cold Steel® die gewaltige Schneid- und Durchschlagskraft großer Messer mit feststehender Klinge auch liebt, ist es nicht zu leugnen, dass solche Messer oft unerwünschte Aufmerksamkeit oder Kommentare auf sich ziehen, wenn man sie bei sich trägt. Kleine feststehende Messer wie das Kyoto fallen hingegen aufgrund ihrer geringeren Größe und harmloseren Optik weniger auf.
Die Kyoto-Messer sind entweder mit traditioneller (tanto) oder mit verstärkter (straight back) Klingenform erhältlich und bieten ein verblüffendes Schneid- und Stoßpotential, das ihre bescheidene Statur nicht vermuten lässt. Bei jedem Messer hat die stabile, kräftige Klinge einen breiten Vollerl, der durch den Griff hindurch geht. Dazu kommen ein Handschutz aus Edelstahl und äußerst rutschfeste Kray-Ex™-Griffschalen, die die traditionelle Schnurwicklung der japanischen Schwertgriffe optisch nachahmen.
Die schlanke, bequeme Scheide ist vielseitig einsetzbar. Daran kann man eine Kugelkette oder ein C-Clip von Cold Steel® befestigen und so das Messer auf verschiedene Arten tragen.
Edelstahl 8Cr13MoV
8Cr13MoV weist ähnliche Eigenschaften wie AUS 8A auf und ist ein bewährter Stahl, der sich zur Herstellung von Arbeitsmessern hervorragend eignet. Bei Cold Steels® eigenen Tests hat sich dieser rostfreie Stahl mit hohem Kohlenstoffanteil als zäh und korrosionsbeständig erwiesen. Wie AUS 8A legt er eine gute Schnitthaltigkeit an den Tag und lässt sich auch leicht nachschärfen.
Details:
- Kyoto I, Tanto Point
- Klingenmaterial: rostfreier Stahl 8Cr13MoV
- Gesamtlänge: ca. 16,9 cm
- Klingenlänge: ca. 8,3 cm
- Klingenstärke: ca. 3 mm
- Griff: ca. 8,6 cm lang, aus Kray-Ex™
- Gewicht: ca. 94 g
- Inkl. Secure-Ex®-Scheide
- Cold Steel® Artikelnummer: 17DA</t>
  </si>
  <si>
    <t>NIGHTMARE TASCHENMESSER</t>
  </si>
  <si>
    <t>Dieses Taschenmesser ist ein echter Blickfang.
Sowohl die Klinge als auch der Griff sind beidseitig reich verziert. Auf der Rückseite des Griffes ist ein Clip angebracht.
Klingenstahl: 420 rostfrei
Griffmaterial: Kunststoff
Öffnungshilfe: Flipper / Daumenloch
Arretierung: Linerlock
Klingenlänge: 95 mm
Gewicht: 125 g</t>
  </si>
  <si>
    <t>LANSKY 3ER STANDARD SCHLEIFSET – LKC03</t>
  </si>
  <si>
    <t>Das Lansky Standard-Schleifset mit 3 Schleifsteinen von grob bis fein, inkl. der Halteklemme mit Lochungen für die empfohlenen Winkel, Haltestangen für die saubere Führung der Schleifsteine und Schleiföl in der praktischen Aufbewahrungsbox.
- Lansky Keramik-Schleifstein (grob) – S0120
rot (Körnung: 120 / grob) für die Rekonditionierung der Schneide
- Lansky Keramik-Schleifstein (mittelfein) – S0280
grün (Körnung: 280 / mittel) zum Schärfen und Ausbessern
- Lansky Keramik-Schleifstein (fein) – S0600
blau (Körnung: 600 / fein) für die meisten Ausbesserungen der Klinge</t>
  </si>
  <si>
    <t>05ZS9126</t>
  </si>
  <si>
    <t>Magnum Akito</t>
  </si>
  <si>
    <t>Das kampftaugliche Magnum Akito ist ein echtes Funktionsschwert und nicht nur für Katas (Übungsformen) oder Iaito (Ziehübungen) geeignet, sondern auch für Tameshigiri (Schnitttests). Um Schnitttest durchführen zu können, bedarf es einer besonders hochwertigen, scharfen und schnitthaltigen Klinge. Die Klinge des Akito ist aus lehmgehärtetem 1045er Kohlenstoffstahl gefertigt, mit echtem Hamon (Härtelinie). Die Gesamtkonstruktion ist besonders robust. So ist die Klinge fast bis zum Griffende durchgehend und wird durch zwei Mekugis fixiert. Ausgeliefert wird das Funktionsschwert mit einer schön lackierten Holzscheide samt traditioneller Öse (Kurigata und Shito-Dome).</t>
  </si>
  <si>
    <t>K25 Thunder I OD Green</t>
  </si>
  <si>
    <t>02RU070</t>
  </si>
  <si>
    <t>02RU028</t>
  </si>
  <si>
    <t>Ein Überlebensmesser mit einem Survival-Notfallset im Hohlgriff, der durch eine Schraubkappe mit integriertem Kompass verschlossen werden kann. Die Klinge des Fahrtenmessers wird aus 8Cr13MoV gefertigt und titanbeschichtet. Sie verfügt über ein markantes Two-Tone Finish und eine Rückensäge. Der beidseitige Handschutz verhindert ein Abrutschen auf die Klinge, und der strukturierte grüne Kunststoffgriff optimiert die Griffigkeit. Die bis ins letzte Detail durchdachte Multifunktionsscheide beherbergt zusätzliche Notfallausrüstung und ist auch ohne das Messer vielseitig einsetzbar. Ausgeliefert wird das Thunder I mit einem vielseitig nutzbaren Beimesser mit Zusatzfunktionen, das auch als Harpune eingesetzt werden kann.
Gesamtlänge: 32,5 cm
Klingenlänge: 20,0 cm
Gewicht: 650 g
Klingenstärke: 5,5 mm
Klingenmaterial: 8Cr13MoV
Griffmaterial: Kunststoff</t>
  </si>
  <si>
    <t>K25 Thunder I Desert</t>
  </si>
  <si>
    <t>Ein Überlebensmesser mit einem Survival-Notfallset im Hohlgriff, der durch eine Schraubkappe mit integriertem Kompass verschlossen werden kann. Die Klinge des Fahrtenmessers wird aus 8Cr13MoV gefertigt und titanbeschichtet. Sie verfügt über ein markantes Two-Tone Finish und eine Rückensäge. Der beidseitige Handschutz verhindert ein Abrutschen auf die Klinge, und der strukturierte Kunststoffgriff optimiert die Griffigkeit. Die bis ins letzte Detail durchdachte Multifunktionsscheide beherbergt zusätzliche Notfallausrüstung und ist auch ohne das Messer vielseitig einsetzbar. Ausgeliefert wird das Thunder I mit einem vielseitig nutzbaren Beimesser mit Zusatzfunktionen, das auch als Harpune eingesetzt werden kann.Gesamtlänge: 32,5 cm
Klingenlänge: 20,0 cm
Gewicht: 650 g
Klingenstärke: 5,5 mm
Klingenmaterial: 8Cr13MoV
Griffmaterial: Kunststoff</t>
  </si>
  <si>
    <t>01MA078</t>
  </si>
  <si>
    <t>02MU147</t>
  </si>
  <si>
    <t>FOX Champagnersäbel</t>
  </si>
  <si>
    <t>FOX</t>
  </si>
  <si>
    <t xml:space="preserve">	
Champagnersäbel
Die Klinge dieses edlen Säbels ist aus rostfreiem Stahl. Er wird in einer edlen Holzbox mit Dekorationsständer geliefert.
Klingenstahl: T5MoV rostfrei
Griffmaterial: Leder
Klingenlänge: 40 cm
Gesamtlänge: 53 cm
Gewicht: 758 g</t>
  </si>
  <si>
    <t>Fudo Messerschärfer</t>
  </si>
  <si>
    <t>Fudo</t>
  </si>
  <si>
    <t>Dieser Messerschärfer bietet Ihnen eine Vielzahl an Features und Funktionen, wie etwa:
• Simple und problemlose Anwendung
• Winkel von 14 bis 24° einstellbar
• Verwendbar für eine Vielzahl an Messertypen &amp; auch Scheren
• Spezialfunktion für das Schleifen von Scheren
• Rutschsicherer, gummierter Boden
Maße: 26 x 4,5 x 8 cm
Gewicht: 200g	
Champagnersäbel
Die Klinge dieses edlen Säbels ist aus rostfreiem Stahl. Er wird in einer edlen Holzbox mit Dekorationsständer geliefert.
Klingenstahl: T5MoV rostfrei
Griffmaterial: Leder
Klingenlänge: 40 cm
Gesamtlänge: 53 cm
Gewicht: 758 g</t>
  </si>
  <si>
    <t>Taschenmesser Ebenholz</t>
  </si>
  <si>
    <t>Ein kräftiges, aber dennoch elegantes Taschenmesser, der perfekte Alltagsbegleiter.
Klingenstahl: 440 rostfrei
Griffmaterial: Ebenholz
Öffnungshilfe: Nagelrille
Arretierung: Backlock
Klingenlänge: 90 mm
Gewicht: 150 g</t>
  </si>
  <si>
    <t>Das Messer ist komplett regenbogenfarben beschichtet. Der durchbrochene Griff ermöglicht die Einsparung an Gewicht. Mit Gürtelclip.
Klingenstahl: 440 rostfrei
Griffmaterial: rostfreier Stahl
Öffnungshilfe: Nagelrille
Arretierung: Linerlock
Klingenlänge: 80 mm
Gewicht: 120 g</t>
  </si>
  <si>
    <t xml:space="preserve">	
Haller Select BRESI</t>
  </si>
  <si>
    <t>Das einzigartige Design verdankt dieses Taschenmesser dem Griff mit geschwungenen Kerben. Außerdem hat das Messer eine äußerst ergonomische Form. Zum Messer gehört neben einer ansprechenden Geschenkbox auch ein Stecketui aus Leder.
Klingenstahl: 440 rostfrei
Griffmaterial: G10
Etui: Leder
Öffnungshilfe: Flipper
Arretierung: Linerlock
Klingenlänge: 80 mm
Gewicht: 95 g</t>
  </si>
  <si>
    <t>Haller Select BRAGI</t>
  </si>
  <si>
    <t xml:space="preserve">	
Haller Select BRAGI
Inspiriert von der Form des Bambus, weist dieses Messer eine besonders schöne Griffform auf.
Dank des Clips auf der Rückseite, kann das Messer bequem in der Tasche oder am Gürtel getragen werden. Zu jedem Messer gehört neben einer ansprechenden Geschenkbox auch ein Stecketui aus Leder.
Klingenstahl: 440 rostfrei
Griffmaterial: Bambusholz
Etui: Leder
Öffnungshilfe: keine
Arretierung: Linerlock
Klingenlänge: 80 mm
Gewicht: 65 g</t>
  </si>
  <si>
    <t>Haller Select BELI</t>
  </si>
  <si>
    <t>Dieses schicke Taschenmesser bietet eine titanbeschichtete Klinge. Als besonderes Design-Element zieht sich eine Rille von der Klinge bis über den Griff durch. Ein Clip ermöglicht komfortables Tragen an Gürtel oder Tasche.
Klingenstahl: 440 rostfrei
Griffmaterial: G10
Öffnungshilfe: Flipper
Arretierung: Linerlock
Klingenlänge: 85 mm
Gewicht: 175 g</t>
  </si>
  <si>
    <t>Haller Select BRESTIR</t>
  </si>
  <si>
    <t>Dieses Taschenmesser mit titanbeschichteter Klinge, besticht durch sein Design. Auf der Rückseite des Griffs ist ein Gürtelclip angebracht. Mit ansprechender Geschenkbox.
Klingenstahl: 440 rostfrei
Griffmaterial: G10
Öffnungshilfe: keine
Arretierung: Linerlock
Klingenlänge: 90 mm
Gewicht: 150 g</t>
  </si>
  <si>
    <t>Haller Select BRIMIR</t>
  </si>
  <si>
    <t>Der geschwungene Griff liegt außergewöhnlich gut in der Hand. Eine Besonderheit stellt die Klinge dar, die am oberen Teil gehämmert ist.
Klingenstahl: 440 rostfrei
Griffmaterial: G10
Öffnungshilfe: keine
Arretierung: Linerlock
Klingenlänge: 75 mm
Gewicht: 125 g</t>
  </si>
  <si>
    <t>Haller Select BARKI</t>
  </si>
  <si>
    <t>Dieses elegante Taschenmesser ist komplett titanbeschichtet. Ein Clip ermöglicht komfortables Tragen an Gürtel oder Tasche.
Klingenstahl: 440 rostfrei
Griffmaterial: Carbon
Öffnungshilfe: Flipper
Arretierung: Framelock
Klingenlänge: 90 mm
Gewicht: 160 g</t>
  </si>
  <si>
    <t>Haller Select BERGUR</t>
  </si>
  <si>
    <t>Ein edles Taschenmesser ganz aus Stahl gefertigt, mit blau eloxierten Schrauben. Ein Clip ermöglicht komfortables Tragen an Gürtel oder Tasche.
Klingenstahl: 440 rostfrei
Griffmaterial: Stahl
Öffnungshilfe: Daumenpin
Arretierung: Framelock
Klingenlänge: 80 mm
Gewicht: 115 g</t>
  </si>
  <si>
    <t>BlackField DOLPHIN P.K.</t>
  </si>
  <si>
    <t>Passend zu dem eleganten Dolphin Messer gibt es jetzt auch die Taschenmesser-Ausführung. Aufgrund der Fingerrillen am Griff und der Daumenauflage liegt das Messer sicher und angenehm in der Hand. Am Griff ist außerdem ein Clip und ein Fangriemen angebracht.
Klingenstahl: 440 rostfrei
Griffmaterial: G10
Öffnungshilfe: Daumenpin
Arretierung: Linerlock
Klingenlänge: 90 mm
Gesamtlänge: 205 mm
Gewicht: 145 g</t>
  </si>
  <si>
    <t>Bravo Two Classic BK - SET</t>
  </si>
  <si>
    <t>Bravo Two Classic FDE - SET</t>
  </si>
  <si>
    <t>Anlässlich des 15-jährigen Firmenjubiläums von Pohl Force werden die beliebten Klappmesser-Modelle Bravo One und Two Gen. 1 neu aufgelegt.
Ihre Größe und kompakten Formen machten sie von Anfang an zu idealen Begleitern für den täglichen Einsatz. Und daran hat sich bis heute nichts geändert. Wie bereits beim Alpha Two X, anlässlich des 10-jährigen Firmenjubiläums, im original Griffdesign der ersten Generation. Auch die weiteren Details wie Lock-Back Verriegelung, links- wie rechtsseitig montierbarer Hosenclip und die alleinige Zweihandöffnung der Klinge mittels Nagelhau finden sich in der neuen Classic-Edition wieder.
Doch nicht nur Pohl Force feiert ein Jubiläum, sondern auch Designer und Firmengründer Dietmar Pohl. Anfang der 90er Jahre, vor nunmehr 30 Jahren, hat er seine ersten Messerentwürfe zu Papier gebracht und somit einen neuen Lebensabschnitt für sich eröffnet. Der ATS-34 des japanischen Stahlherstellers Hitachi, ein Pendant zum amerikanischen 154CM Stahl, gehörte zu den angesagtesten Stählen dieser Zeit. Fast ein Jahrzehnt blieb ATS-34 Stahl die erste Wahl der Custom Knifemaker bevor in den 2000er Jahren pulvermetallurgischer Stahl seinen Siegeszug antrat. Anlässlich des Firmenjubiläums ist es Dietmar Pohl gelungen „seinen“ Stahl nochmals in einer sehr begrenzten Menge zu beschaffen und für die Classic Auflage der Bravo One / Two zu nutzen. Der sehr korrosionsbeständige ATS-34 überzeugt durch eine hervorragende Schärfe und hohe Schnitthaltigkeit.
Ausgestattet ist das Bravo Two Classic BK mit robusten Griffschalen aus schwarzem GFK und einer Tanto-Klinge mit einem spannenden Two-Tone Finish (Stonewashed/ Längssatiniert).
Jetzt im Set mit dem Bravo Gürtel-Holster. Das robuste Holster aus strapazierfähigem Nylon wurde speziell für die Bravo Serie entworfen. Der Überwurf sichert das Bravo mittels Klettverschluss zuverlässig. Das Holster ist vertikal (Gürtelbreite bis 50 mm) und horizontal (Gürtelbreite bis 40 mm) tragbar. Weitere Informationen: BRAVO HOLSTER
Technische Daten:
Gesamtlänge: 195 mm
Klingenlänge: 83 mm
Klingenstärke: 3,5 mm
Gewicht: 120 g
Klingenstahl: ATS-34 - Hitachi, Japan
Klingenoberfläche: Two-Tone Finish (Stonewashed | Längssatiniert)
Griffmaterial: GFK
Verriegelung: Lock-Back</t>
  </si>
  <si>
    <t>Anlässlich des 15-jährigen Firmenjubiläums von Pohl Force werden die beliebten Klappmesser-Modelle Bravo One und Two Gen. 1 neu aufgelegt.
Ihre Größe und kompakten Formen machten sie von Anfang an zu idealen Begleitern für den täglichen Einsatz. Und daran hat sich bis heute nichts geändert. Wie bereits beim Alpha Two X, anlässlich des 10-jährigen Firmenjubiläums, im original Griffdesign der ersten Generation. Auch die weiteren Details wie Lock-Back Verriegelung, links- wie rechtsseitig montierbarer Hosenclip und die alleinige Zweihandöffnung der Klinge mittels Nagelhau finden sich in der neuen Classic-Edition wieder.
Doch nicht nur Pohl Force feiert ein Jubiläum, sondern auch Designer und Firmengründer Dietmar Pohl. Anfang der 90er Jahre, vor nunmehr 30 Jahren, hat er seine ersten Messerentwürfe zu Papier gebracht und somit einen neuen Lebensabschnitt für sich eröffnet. Der ATS-34 des japanischen Stahlherstellers Hitachi, ein Pendant zum amerikanischen 154CM Stahl, gehörte zu den angesagtesten Stählen dieser Zeit. Fast ein Jahrzehnt blieb ATS-34 Stahl die erste Wahl der Custom Knifemaker bevor in den 2000er Jahren pulvermetallurgischer Stahl seinen Siegeszug antrat. Anlässlich des Firmenjubiläums ist es Dietmar Pohl gelungen „seinen“ Stahl nochmals in einer sehr begrenzten Menge zu beschaffen und für die Classic Auflage der Bravo One / Two zu nutzen. Der sehr korrosionsbeständige ATS-34 überzeugt durch eine hervorragende Schärfe und hohe Schnitthaltigkeit.
Ausgestattet ist das Bravo Two Classic FDE mit robusten Griffschalen aus GFK militärisch taktisch in der Farbe Flat Dark Earth und einer Tanto-Klinge im Dark Stonewashed Finish.
Jetzt im Set mit dem Bravo Gürtel-Holster. Das robuste Holster aus strapazierfähigem Nylon wurde speziell für die Bravo Serie entworfen. Der Überwurf sichert das Bravo mittels Klettverschluss zuverlässig. Das Holster ist vertikal (Gürtelbreite bis 50 mm) und horizontal (Gürtelbreite bis 40 mm) tragbar. Weitere Informationen: BRAVO HOLSTER
Technische Daten:
Gesamtlänge: 195 mm
Klingenlänge: 83 mm
Klingenstärke: 3,5 mm
Gewicht: 120 g
Klingenstahl: ATS-34 - Hitachi, Japan
Klingenoberfläche: Dark Stonewashed
Griffmaterial: GFK
Verriegelung: Lock-Back</t>
  </si>
  <si>
    <t>Quebec Two - Special Forces (Field)</t>
  </si>
  <si>
    <t>Das neue Quebec Two - die nächste Evolutionsstufe des klassischen Einsatzmessers der Pohl Force Quebec-Serie! 
Mit der „Special Forces“ Serie auf Basis des neuen Quebec Two möchte Pohl Force all den Soldaten und Polizisten Respekt zollen, die harte Auswahlverfahren bestanden haben, fordernde Ausbildungen durchlaufen haben und am Ende mit Stolz das Tätigkeitsabzeichen eines Eliteverbandes tragen dürfen. Sie setzen nicht nur ihre Gesundheit, sondern auch allzu oft ihr Leben für das Gemeinwohl ihres Landes oder auch einzelner Mitbürger ein, die unter Umständen aus besonderen Lagen befreit werden müssen.
Der speziell entwickelte „Special Forces“ Patch und die Sonderlaserung auf der Klinge stehen stellvertretend für alle Angehörigen von Spezialeinheiten weltweit. Angeboten wird das Quebec Two „Special Forces“ in zwei unterschiedlichen Ausführungen, die jeweils in ihren Details auf urbane bzw. wald- oder wüstenähnliche Einsatzgebiete abgestimmt sind.
Das Modell „Urban“ ist für städtische Spezialeinsatzkräfte mit einer Dark-Stonewashed Klinge, schwarzen G-10 Griffschalen und Lanyard sowie einer schwarzen Kydex® Scheide mit Beingurt ausgestattet. Das Modell „Field“ ist wiederum für militärische Feldeinsätze in Wald- und Wüstenregionen gedacht. Die Klinge des Quebec Two „Field“ ist nicht reflektierend, schwarz Titannitrid (TiN) beschichtet und mit ebenfalls schwarzen G-10 Griffschalen ausgestattet. Passend abgestimmt sind die Scheide sowie die Lanyard in „Flat Dark Earth“. Einer taktischen Farbe, die sich weltweit als Tarnschema vieler Armeen durchgesetzt hat.
Lediglich 150 streng limitierte Exemplare pro Modell bietet Pohl Force exklusiv an, die auf der Klinge oberhalb des „Special Forces“ Wappens nummeriert sind. Für die Klingen kommt der hochgradig bewährte D2 Werkzeugstahl zum Einsatz. Mit speziellem Sammlerzertifikat.
Technische Daten:
Gesamtlänge: 315 mm
Klingenlänge: 190 mm
Klingenstärke: 6 mm
Gewicht: 380 g
Klingenstahl: D2
Klingenoberfläche: TiN Beschichtung
Griffmaterial: G-10
Scheide: Kydex®-Scheide mit Gürtel-Adapter und Beingurt (passend für Gürtelbreiten bis 55mm)
Lieferumfang: Quebec Two - Special Forces (Field) mit Kydex®-Scheide in der Farbe FDE (Flat Dark Earth), Beingurt, Lanyard, Schlüssel zum Lösen der Griffschrauben, Quebec Two Special Forces Patch, Bilddruck
Pflegehinweis
Die Klinge des Quebec Two ist aus D2 (1.2379) Kaltarbeitsstahl gefertigt, der über eine enorme Schnitthaltigkeit verfügt und aufgrund des Chromanteils von 11,8 % einer gewissen Grundpflege bedarf. Bei mangelnder Pflege kann Korrosion auftreten. Zur Vorbeugung sollte das Messer regelmäßig gereinigt, getrocknet und neu geölt werden, um Rost und Korrosion zu verhindern. Vor allem, wenn das Messer mit unbestimmten Substanzen oder säurehaltigen Flüssigkeiten in Kontakt kommt sowie in Meeresnähe eingesetzt wird.</t>
  </si>
  <si>
    <t>01MB788DAM</t>
  </si>
  <si>
    <t>Magnum Damast Lady</t>
  </si>
  <si>
    <t>Klassisches Doppelbackenmesser mit Beschlägen aus poliertem Edelstahl. Als Griffmaterial kommt ausgesuchtes Wurzelholz zum Einsatz, das dem Messer eine warme und sehr hochwertige Optik verleiht. Lockback-Verriegelung. Ohne Hosen-Clip. Gesamtlänge 13,9 cm. Klinge 5,9 cm. Gewicht 68 g.Gesamtlänge: 13,9 cm
Klingenlänge: 5,9 cm
Gewicht: 68 g
Klingenmaterial: Damast
Griffmaterial: Wurzelholz
Verschluss: Backlock</t>
  </si>
  <si>
    <t>01RY248</t>
  </si>
  <si>
    <t>Magnum Black Spear II</t>
  </si>
  <si>
    <t>Das Magnum Black Spear II ist ein beeindruckendes Einsatzmesser, das vor keiner Mission zurückschreckt. Die modifizierte Spearpointklinge aus 440A weist einen leichten Recurveschwung auf. Durch diesen besitzt die Schneide nur vergleichsweise wenige Berührungspunkte mit dem Schnittgut. Das hat zur Folge, dass der an den Berührungspunkten ausgeübte Druck höher ist. Der Linerlock sorgt für die notwendige Sicherheit und dank des Nagelhaus lässt sich das Taschenmesser leicht öffnen und schließen. Durch die ausgeprägten Fingerrillen des schwarzen Aluminium-Griffes ist stets eine hohe Arbeitssicherheit bei allen Schneidarbeiten gegeben. Aluminium ist ein relativ weiches und zähes Metall, es ist sehr leicht und hat gleichzeitig eine hohe Festigkeit. Das Leichtmetall ist außerdem recyclingfähig. Mit Glasbrecher, Fangriemenöse und Hosenclip.Gesamtlänge: 23,0 cm
Klingenlänge: 9,6 cm
Gewicht: 220 g
Klingenstärke: 3,8 mm
Klingenmaterial: 440A
Griffmaterial: Aluminium
Verschluss: Linerlock</t>
  </si>
  <si>
    <t>05-730013</t>
  </si>
  <si>
    <t>Edelstahl Messer Camou 12 cm Klinge</t>
  </si>
  <si>
    <t>Fisherman`s Partner</t>
  </si>
  <si>
    <t>CST-26C6</t>
  </si>
  <si>
    <t>CST-26C4</t>
  </si>
  <si>
    <t>Taschenmesser Rainbow</t>
  </si>
  <si>
    <t>P38 Fixed Blade</t>
  </si>
  <si>
    <t>01FX030</t>
  </si>
  <si>
    <t>Blackfox</t>
  </si>
  <si>
    <t>BlackFox F-434 G10</t>
  </si>
  <si>
    <t>Das Taschenmesser 434 zählt durch seine Skelettbauweise ebenfalls zu den Leichtgewichten unter den Taschenmessern. Der große Clip auf der Rückseite ermöglicht nicht nur bequemes und zugriffsbereites Tragen, sondern auch die Verwendung als Geldscheinklammer. Alternativ kann das BF-434 auch mit dem integrierten Karabiner befestigt werden. Verriegelung per Linerlock. Der Klingenstahl 440A ist ebenso wie die Griffschalen titanbeschichtet.Gesamtlänge: 14,5 cm
Klingenlänge: 6,0 cm
Gewicht: 45 g
Klingenstärke: 2,0 mm
Klingenmaterial: 440A
Griffmaterial: G10
Verschluss: Linerlock</t>
  </si>
  <si>
    <t>01FX1138</t>
  </si>
  <si>
    <t>Fox Knives FX 599 Karambit The End N690 Aluminum</t>
  </si>
  <si>
    <t>Arbeitsmesser mit Ring am Griffende wurden bereits seit dem 11. Jahrhundert in Südostasien verwendet. Der Ring erlaubt ein freihändiges Arbeiten mit dem Messer, ohne es dabei aus der Hand legen zu müssen und verringert die Verlustgefahr. Die Hawkbill-Klinge des 599 Karambit wird aus N690 gefertigt und ist schwarz beschichtet. Sie wird wahlweise per Wave-Opener oder Daumenloch geöffnet und von einem Liner-Lock arretiert. Der ergonomische Griff besteht aus schwarzem Aluminium und ist mit einem Totenkopfmotiv verziert. Mit Tip-Up Clip (r).Gesamtlänge: 17,5 cm
Klingenlänge: 6,5 cm
Gewicht: 100 g
Klingenstärke: 3,0 mm
Klingenmaterial: N690
Griffmaterial: Aluminium
Verschluss: Linerlock</t>
  </si>
  <si>
    <t>01FX1139</t>
  </si>
  <si>
    <t>Fox Knives FX 599 Karambit The Skull N690 Aluminum</t>
  </si>
  <si>
    <t>01FX1140</t>
  </si>
  <si>
    <t>Fox Knives FX 599 Karambit The Skulls N690 Aluminum</t>
  </si>
  <si>
    <t>01FX1146</t>
  </si>
  <si>
    <t>BlackFox Demand D2 Orange Alumium</t>
  </si>
  <si>
    <t>Hochfestes Rettungsmesser für anspruchsvolle Einsätze in Notsituationen. Die D2 Klinge mit partiellem Wellenschliff öffnet wahlweise per Flipper oder Daumenpin, während der Liner-Lock zuverlässig arretiert. Der Griff aus orangefarbenem Aluminium beherbergt Gurtschneider, Glasbrecher, Signalpfeife sowie Aussparungen für verschiedene Sechskantschrauben. Mit Tip-Up Clip(r).Gesamtlänge: 20,0 cm
Klingenlänge: 8,5 cm
Gewicht: 185 g
Klingenstärke: 3,0 mm
Klingenmaterial: D2
Griffmaterial: Aluminium
Verschluss: Linerlock</t>
  </si>
  <si>
    <t>04PX003</t>
  </si>
  <si>
    <t>Premax Ringlock Nagelknipser</t>
  </si>
  <si>
    <t>Seit Generationen werden in dem italienischen Ort Premana in der Nähe des Comer Sees hochwertige Scheren gefertigt. Bei anspruchsvollen Kunden setzen sich die dort ansässigen Scherenmanufakturen mit modernen Bearbeitungszentren unter Einsatz ausgewählter Materialien und viel Liebe zum Detail mit europäischer Wertarbeit gegen die asiatische Billigkonkurrenz durch. Besonders innovativ ist die Scherenserie Ringlock. Die altbekannte Schraube der Schere wird durch ein speziell entwickeltes und patentiertes Verschlusssystem ersetzt. Das Ringlock-System wird unter Einsatz der Technik aus der Uhrmacherindustrie gefertigt und funktioniert mit einem Ring und einem Aluminiumlager, die ein dauerhaft präzises Setzen der Scherblätter gewährleisten. Das Ringlock-System garantiert ein präzises und langfristig problemloses Schneiden und verlängert die Lebensdauer der Schneiden und somit der gesamten Schere. Sämtliche Modelle sind aus hochwertigem Edelstahl mit exklusiver Oberflächenbehandlung gefertigt und überzeugen durch ein modernes Design.Gesamtlänge: 8,4 cm</t>
  </si>
  <si>
    <t>Premax</t>
  </si>
  <si>
    <t>BlackField Carrier F 35 Spear Point Klinge</t>
  </si>
  <si>
    <t>Survivalmesser mit beschichteter Klinge. Im aufschraubbaren Hohlgriff sind diverse Bits eingelegt.
Die Nylonscheide hat einen Kunststoffköcher zur Aufnahme der Klinge, sowie eine Vortasche.
Klingenstahl: 1070 Kohlenstoffstahl
Griffmaterial: 1070 Kohlenstoffstahl
Scheide: Nylon
Klingenlänge: 190 mm
Gesamtlänge: 320 mm
Gewicht: 560 g</t>
  </si>
  <si>
    <t>BlackField STINGRAY Ø2</t>
  </si>
  <si>
    <t>Ein kräftiges, aber dennoch nicht zu schweres Taschenmesser, welches mit Hilfe des Flippers blitzschnell geöffnet werden kann. Die kräftige Klinge ist titanbeschichtet. Der Griff aus Kunststoff ist teilweise gummiert und liegt auch Dank der tiefen Fingermulden und der Daumenauflage fest und sicher in der Hand. Mit Gürtelclip.
Klingenstahl: 440 rostfrei
Griffmaterial: Kunststoff
Öffnungshilfe: Daumenpin / Flipper
Arretierung: Linerlock
Klingenlänge: 90 mm
Gesamtlänge: 210 mm
Gewicht: 195 g</t>
  </si>
  <si>
    <t>Border Guard SWBG10S Serrated Tanto Folder</t>
  </si>
  <si>
    <t>Dieses von Smith &amp; Wesson entwickelte und hergestellte Klappmesser ist der perfekte Begleiter für Notfälle, taktische Einsätze, Outdoor-Aktivitäten, Camping, Survival und Wandern. Es eignet sich auch hervorragend für Ersthelfer, alltägliche Aufgaben und leichte Arbeiten im Außendienst.
Das Klappmesser wiegt 0,246 kg und hat eine Klingenlänge von 110 mm und eine Gesamtlänge von 250 mm. Es verfügt über eine modifizierte Spear-Point-Klinge, einen Hohlschliff und eine teilweise gezahnte Schneide. Das Produkt garantiert eine außergewöhnliche Spitzenfestigkeit mit hervorragenden Eindringeigenschaften und hoher Schneidkraft.
Das SWBG1S verfügt über einen geriffelten Griff mit rutschfester Oberfläche für mehr Komfort und verhindert ein Abrutschen der Hand beim Arbeiten. Die beidseitig bedienbaren Daumenknöpfe ermöglichen ein schnelles und einfaches Öffnen.
Die Klinge aus kohlenstoffreichem Edelstahl 7Cr17MoV mit Black-Wash-Finish ist teilweise gezahnt, um die Schneidkraft zu erhöhen. Es hält selbst härtesten Bedingungen stand und bleibt lange scharf. Korrosionsbeständigkeit, außergewöhnliche Haltbarkeit und hervorragende Schärfe machen dieses Messer zu einem unverzichtbaren Werkzeug für jeden Anwender.
Der profilierte und ergonomische Griff besteht aus Aluminium mit Track-Tech-Einsätzen. Er verbessert die Kontrolle und bietet sicheren Halt unter nahezu allen Bedingungen. Der Griff ist mit einem Glasbrecher, einem Riemenschneider und einer Öse für ein Sicherungsseil ausgestattet. Zusätzlich verfügt das Messer über einen Clip, der das Tragen des Messers in der Tasche erleichtert.
Jeder Anwender wird den modernen Stil, die Vielseitigkeit, den Komfort und die sichere Handhabung dieses Messers zu schätzen wissen. Das Messer vereint hohe Härte und hochwertiges Aussehen. Smith &amp; Wesson Messer sind bekannt für ihre Qualität, Leistung und Langlebigkeit und erfüllen und übertreffen stets die Erwartungen der Kunden.
Alle Komponenten wurden aus zweckgebundenen Materialien entwickelt und gefertigt.</t>
  </si>
  <si>
    <t>Modified Survival Machete</t>
  </si>
  <si>
    <t>Zusätzliche Informationen
Grifflänge:
137 mm
Klingenlänge:
300 mm
Abmessungen &amp; Gewicht der Verpackung
Länge:
44 cm
Länge verpackt:
48.5 cm
Breite:
2.2 cm
Breite verpackt:
9.2 cm
Höhe:
6 cm
Höhe verpackt:
5.3 cm
Gewicht:
0.7 kg
Gewicht verpackt:
0.9 kg</t>
  </si>
  <si>
    <t>EF133 Folder</t>
  </si>
  <si>
    <t>Dieses von Elite Force entwickelte und hergestellte, leichte Klappmesser ist der perfekte Begleiter für Outdoor-Aktivitäten, Camping, Survival und Wandern. Es eignet sich auch hervorragend für alltägliche Aufgaben und leichte Arbeiten im Gelände.
Das Klappmesser wiegt 125 g und hat eine Klingenlänge von 85 mm und eine Gesamtlänge von 200 mm. Es verfügt über eine Drop-Point-Klinge mit Hohlschliff. Das Produkt garantiert eine außergewöhnliche Spitzenfestigkeit und hervorragende Penetrationseigenschaften.
Das EF133 hat einen Griff mit geriffelter Textur und einer rutschfesten Oberfläche, die den Griff verbessert und die Hand beim Arbeiten vor dem Abrutschen auf der Klinge schützt. Das Messer verfügt über einen Zeigefinger und beidhändige Daumenknöpfe für ein schnelles und einfaches Öffnen. Die oben genannten Lösungen sind sowohl für Rechts- als auch für Linkshänder geeignet. Das robuste Liner-Lock-System sorgt für Sicherheit und verhindert ein versehentliches Lösen und Einklappen des Mechanismus während des Gebrauchs.
Die Klinge ist aus rostfreiem 440A-Stahl gefertigt und mit einer schwarzen Schutzbeschichtung versehen. Der verwendete Stahl lässt sich leichter schärfen und verzeiht auch bei unsachgemäßer Behandlung oder unter rauen Bedingungen weniger. Korrosionsbeständigkeit, ausreichende Haltbarkeit, optimale Schärfe und einfache Wartung sind wesentliche Punkte, die dieses Messer für den Anwender äußerst nützlich machen.
Der profilierte und ergonomische Griff besteht aus G10-Laminat – einem langlebigen Glas-Epoxid-Verbundwerkstoff (mit rutschfester Textur), der sich durch eine leichte Konstruktion, überlegene mechanische Belastbarkeit und ausgezeichnete Beständigkeit gegen Wasser, Temperaturschwankungen sowie eine Vielzahl von Säuren und Lösungsmitteln auszeichnet. Er verbessert die Kontrolle und bietet einen sicheren Griff unter nahezu allen Bedingungen. Der Griff ist mit einer Öse für ein Sicherungsseil oder geflochtenes Paracord ausgestattet. Zusätzlich verfügt das Messer über einen Federclip, der das tägliche Tragen des Messers erleichtert.
Jeder Anwender wird den Stil, die Zweckmäßigkeit, die Funktionalität und das sichere Tragen dieses Messers zu schätzen wissen. Das Messer vereint ästhetisches Aussehen mit hoher Haltbarkeit. Elite Force Messer sind bewährt und in vielen Situationen nützlich.
Alle Komponenten wurden aus Materialien entwickelt und gefertigt, die einem präzisen Zweck entsprechen.
Zusätzliche Informationen
Grifflänge:
115 mm
Klingenlänge:
85 mm
Abmessungen und Gewicht der Verpackung
Länge:
11,2 cm
Länge verpackt:
12,5 cm
Breite:
3,4 cm
Breite verpackt:
4,2 cm
Höhe:
1,5 cm
Höhe verpackt:
2,3 cm
Gewicht:
0,125 kg
Gewicht verpackt:
0,142 kg</t>
  </si>
  <si>
    <t>Shuffle II Linerlock Folder</t>
  </si>
  <si>
    <t>Kershaw</t>
  </si>
  <si>
    <t>Hergestellt von Kershaw, ist dieses Klappmesser in Mikrogröße eine perfekte Klinge für die meisten EDC-Aufgaben zur Hand.
Mit einem Gewicht von 80g, einer Tanto-Klingenlänge von 65mm und einer Gesamtlänge von 160mm ist dieses Messer die perfekte Wahl für alltägliche Aufgaben.
Die 2,8mm dicke Klinge aus flachgeschliffenem 8Cr13MoV-Stahl ist mit einer Blackwash-Technik bearbeitet. Der Öffnungsmechanismus besteht aus einem doppelten Daumenknopf.
Der strukturierte Griff aus glasfaserverstärktem Nylon bietet ausreichend Grip und Widerstand gegen Beschädigungen.
Das Linerlock-System garantiert eine sichere Handhabung und verhindert ein versehentliches Lösen des Verriegelungsmechanismus. An beiden Seiten des Rahmens ist ein abnehmbarer Stahlclip für verdecktes und unauffälliges Tragen vorhanden.
Im Schaft des Messers ist ein Loch für ein Schlüsselband integriert, das sich leicht befestigen oder als Schlüsselanhänger verwenden lässt.
Das Shuffle II Linerlock Folder ist ein einfaches und funktionelles Messer ohne unnötigen Schnickschnack.
Zusätzliche Informationen
Grifflänge:
95 mm
Klingenlänge:
65 mm</t>
  </si>
  <si>
    <t>Marttiini Filetiermesser braun BPPRFBL6</t>
  </si>
  <si>
    <t>Marttiini Filetiermesser schwarz PRFGL6</t>
  </si>
  <si>
    <t>01dmax003</t>
  </si>
  <si>
    <t>DMAX Medic</t>
  </si>
  <si>
    <t>Damit Du in jeder Situation Herr der Lage bleibt, haben wir gemeinsam mit der Böker Manufaktur Solingen, dem Marktführer für Taschen- und Outdoormesser mit über 150 Jahren Erfahrung, das passende Outdoor-Equipment für Dich entwickelt.
Wir wissen genau, was Alltagshelden in der Komfortzone und darüber hinaus brauchen: standhafte Klappmesser, kraftvolle Messer mit feststehender Klinge oder praktische und geniale Tools - gehalten im lässigen DMAX-Style und wie gemacht für Dich und Deine Buddies.Gesamtlänge: 20,5 cm
Klingenlänge: 8,5 cm
Gewicht: 151 g
Klingenstärke: 2,7 mm
Klingenmaterial: 440A
Griffmaterial: Aluminium
Verschluss: Linerlock</t>
  </si>
  <si>
    <t>02dmax002</t>
  </si>
  <si>
    <t>DMAX Elk Hunter</t>
  </si>
  <si>
    <t>Damit Du in jeder Situation Herr der Lage bleibt, haben wir gemeinsam mit der Böker Manufaktur Solingen, dem Marktführer für Taschen- und Outdoormesser mit über 150 Jahren Erfahrung, das passende Outdoor-Equipment für Dich entwickelt.
Wir wissen genau, was Alltagshelden in der Komfortzone und darüber hinaus brauchen: standhafte Klappmesser, kraftvolle Messer mit feststehender Klinge oder praktische und geniale Tools - gehalten im lässigen DMAX-Style und wie gemacht für Dich und Deine Buddies.Gesamtlänge: 22,0 cm
Klingenlänge: 11,0 cm
Gewicht: 283 g
Klingenstärke: 3,8 mm
Klingenmaterial: 440A
Griffmaterial: G10</t>
  </si>
  <si>
    <t>01Ry126</t>
  </si>
  <si>
    <t xml:space="preserve">Magnum Slender
</t>
  </si>
  <si>
    <t>Dieses stabile und leichte Messer begeistert schon beim ersten Zugreifen. Es wirkt zwar zierlich und schmal, doch der erste Eindruck täuscht. Durch die ausgezeichnete Ergonomie, den gewölbten Griffrücken und den durch zahlreiche Bohrungen erleichterten Griff liegt das Slender ausgezeichnet in der Hand. Die korrosionsbeständige Klinge aus 440A-Stahl arretiert per Framelock. Der Flipper ermöglicht ein bequemes, einhändiges Öffnen. Mit Clip und Fangriemenöse.
Gesamtlänge: 21,0 cm
Klingenlänge: 8,8 cm
Gewicht: 112 g
Klingenstärke: 2,7 mm
Klingenmaterial: 440A
Griffmaterial: Edelstahl
Verschluss: Framelock</t>
  </si>
  <si>
    <t xml:space="preserve">Magnum Gray Eminence
</t>
  </si>
  <si>
    <t xml:space="preserve">1SC712
</t>
  </si>
  <si>
    <t>02Ry336</t>
  </si>
  <si>
    <t xml:space="preserve">Magnum Capital
</t>
  </si>
  <si>
    <t>Auffallend elegant gestaltetes Messer mit schön satinierter Recurveklinge aus 440er Edelstahl. Die dezente Fehlschärfe verleiht dem Capital eine dynamische Note. Der ergonomisch geformte Griff mit seinen Micarta-Griffschalen schmiegt sich angenehm in die Hand des Anwenders. In voller Stärke läuft die Klinge durch den Griff. Auslieferung mit Lederscheide.Gesamtlänge: 23,0 cm
Klingenlänge: 11,5 cm
Gewicht: 231 g
Klingenstärke: 3,0 mm
Klingenmaterial: 440A
Griffmaterial: Micarta</t>
  </si>
  <si>
    <t>09FZ006</t>
  </si>
  <si>
    <t>09BO147</t>
  </si>
  <si>
    <t xml:space="preserve">Böker Thermosflasche
</t>
  </si>
  <si>
    <t>Alles andere als ne Flasche: An heißen, kalten- und allen Tagen dazwischen darf die vielseitige Böker Thermosflasche in keiner Ausrüstung fehlen. Die doppelwandige Edelstahlkonstruktion sorgt für eine optimale Isolierung für Heiß- und Kaltgetränke beim Camping, Wandern, Reisen, Freizeit Sport oder im Alltag. Ob der seelenwärmende Tee bei Minusgraden oder die heißersehnte, prickelnde Abkühlung in sengender Hitze  die Trinkflasche aus robustem Edelstahl hat immer die richtige Antwort parat. Mit einem Fassungsvermögen von 500 ml bietet die auslaufsichere Isolierflasche die perfekte Größe für Sporttasche, Rucksack oder Arbeitstasche. Der Drehverschluss und die großzügige schwarze Gummierung mit dem Böker Logo garantieren eine sichere Bedienbarkeit selbst mit verschwitzten Händen oder Handschuhen. Ideal für Heißgetränke wie Kaffee oder Kakao sowie Kaltgetränke wie kohlensäurehaltigen Softdrinks, Mineralwasser oder Saft. Nicht für die Spülmaschine oder Mikrowelle geeignet. Inhalt 0,5 l.</t>
  </si>
  <si>
    <t xml:space="preserve">Flitz Knife Restauration Kit
</t>
  </si>
  <si>
    <t>Flitz</t>
  </si>
  <si>
    <t xml:space="preserve">Das Kit enthält die bewährte Flitz Politur in flüssiger Form (Flasche mit 50 ml), ein Microfaser Poliertuch , ein Break-Free CLP Waffenöl (teflonhaltig) für Reinigung und optimale Schmierung (Flasche mit Dosierkanüle, 7,5 ml) sowie einen DMT-Diamantschärfer mit feiner Körnung für einfaches und effektives Nachschärfen.
 </t>
  </si>
  <si>
    <t xml:space="preserve">Taschenmesser Zebraholz
</t>
  </si>
  <si>
    <t>Ein kleines, aber sehr solides Taschenmesser.
Klingenstahl: 420 rostfrei
Griffmaterial: Zebraholz
Öffnungshilfe: Nagelrille
Arretierung: Backlock
Klingenlänge: 55 mm
Gewicht: 40 g</t>
  </si>
  <si>
    <t>Mit vielfältigen Verwendungsmöglichkeiten:
als Spaten, Schaufel, Haue, Säge oder Schraubendreher. Mit diesem universell einsetzbaren Klappspaten sind Sie für alles gewappnet.
Der Spatenstiel kann verlängert werden. Im Griffende ist eine Säge eingesetzt, welche auf den Griff aufgeschraubt werden kann.
Spatenblatt: gehärteter Spezialstahl
Griffmaterial: extrem strapazierfähiger Kunststoff
Länge (geschlossen): 26 cm
Länge (geöffnet): 64,5 cm
Gewicht: 655 g</t>
  </si>
  <si>
    <t>Kräftiger Klappspaten mit Nylonetui
Spatenblatt: Kohlenstoffstahl
Griffmaterial: Hartplastik
Etui: Nylon
Maße Spatenblatt: 22 x 15,5 cm
Länge (geschlossen): 23 cm
Länge (geöffnet): 58 cm
Gewicht: 900 g</t>
  </si>
  <si>
    <t>Taschenmesser Rescue V
Glock Feldspaten</t>
  </si>
  <si>
    <t>Die schwarz beschichtete Klinge mit scharfem Teilwellenschliff lässt sich dank Flipper bequem öffnen. Der Flipper dient im ausgeklappten Zustand außerdem als Parierelement und schützt die Hand vor dem Abrutschen. In den Griff ist ein Gurtschneider eingesetzt. Den Griffabschluss bildet ein Glasbrecher. Mit praktischem Gürtelclip.
Klingenstahl: 420 rostfrei
Griffmaterial: Leichtmetall
Öffnungshilfe: Daumenpin / Flipper
Arretierung: Linerlock
Klingenlänge: 85 mm
Gewicht: 145 g</t>
  </si>
  <si>
    <t>Taschenmesser Redwood</t>
  </si>
  <si>
    <t>Ein sehr kompaktes Einhandmesser, dass trotz seiner Größe keine Abstriche bei der wuchtigen Klinge machen muss. Auf der Rückseite ist ein Gürtelclip angebracht.
Klingenstahl: 440 rostfrei
Griffmaterial: Redwood
Öffnungshilfe: Flipper
Arretierung: Linerlock
Klingenlänge 70 mm
Gewicht: 85 g</t>
  </si>
  <si>
    <t>Rescue Taschenmesser XXL</t>
  </si>
  <si>
    <t>Die Klinge ist schwarz beschichtet und mit einem Teilwellenschliff versehen. Der Flipper dient im ausgeklappten Zustand außerdem als Parierelement und schützt die Hand vor dem Abrutschen. In den Griff ist ein Gurtschneider eingesetzt. Am Griffende befindet sich ein Glasbrecher. Mit praktischem Gürtelclip.
Klingenstahl: 420 rostfrei
Griffmaterial: Leichtmetall
Öffnungshilfe: Daumenpin / Flipper
Arretierung: Linerlock
Klingenlänge: 110 mm
Gesamtlänge: 260 mm
Gewicht: 290 g</t>
  </si>
  <si>
    <t>Haller Select ERPIR Olive</t>
  </si>
  <si>
    <t>Ein elegantes, kleines Taschenmesser, der perfekte Alltagsbegleiter. Durch die Fingerrillen liegt das Messer sicher in der Hand. Die Griffbeschalung ist aus edlem Olivenholz und ein Fangriemen aus Leder ist auch angebracht. Zu jedem Messer gehört ein Stecketui aus Leder. Die Lieferung erfolgt in einer Geschenkbox.
Klingenstahl: 440 rostfrei
Griffmaterial: Olivenholz
Etui: Leder
Öffnungshilfe: Nagelrille
Arretierung: Backlock
Klingenlänge: 70 mm
Gewicht: 95 g</t>
  </si>
  <si>
    <t>Glock Feldspaten</t>
  </si>
  <si>
    <t xml:space="preserve">Klappspaten	</t>
  </si>
  <si>
    <t>02mag2019</t>
  </si>
  <si>
    <t>Böker Magnum Collection Knife 2019</t>
  </si>
  <si>
    <t>BÖKER MAGNUM COLLECTION KNIFE 2019 02MAG2019
Gary Groves aus West Virginia ist ein Messermacher alter Schule. Schon als Junge war er viel in der Natur unterwegs, und seine Leidenschaft für Messer wurde entfacht durch ein Geschenk seines Vaters, der ihm als Jungen ein handgemachtes Messer aus einem alten Sägeblatt geschenkt hat. Nach seinem Einsatz in Vietnam begann Gary als Bergmann in den Kohleminen zu arbeiten, und durch die intensive Auslastung im Beruf kam er kaum zur Ausübung seines Hobbys.
Durch einen schweren Unfall in der Mine im Jahr 2002 und die daraus resultierende Arbeitsunfähigkeit wurde sein Leben über Nacht auf den Kopf gestellt. Nach einer kurzen Orientierungsphase begann er verstärkt, sich dem Messermachen zu widmen. So traf er 2007 auf seinen Mentor Leon Peal, der ihm auf dem Weg zum Vollzeit-Messermacher eine grosse Unterstützung war. Seitdem ist Gary Groves aus der klassischen Messermacherszene nicht mehr wegzudenken. Als Mitglied der Amerikanischen Knifemaker´s Guild sowie der American Bladesmith Society sind seine Werke auch mit schöner Regelmäßigkeit in den diversen Fachmagazinen zu bewundern, und seine Vorliebe für klassische Bowies und Fighter schlägt sich auch ganz klar in unserem Magnum Collection 2019 nieder.
Die bauchige Klinge mit dem geraden Klingenrücken verleiht dem Magnum Collection 2019 eine ganz besondere Dynamik, und der leicht gekröpfte Griff mit dem grosszügig dimensionierten Parierelement verleiht dem Messer eine ausgeprägte Führigkeit. Die Fehlschärfe im Klingenrücken reduziert nicht nur das Gewicht und perfektioniert die Balance des Messers, sondern unterstreicht auch die ausgefallene Linienführung. Für den Griff kommt Canvas-Micarta zum Einsatz, das in schwarz und in weinrot Verwendung findet, und das nochmal durch polierte Zwischenlagen eingefasst ist.
So ist das Magnum Collection 2019 zwar geprägt von traditionellen Vorbildern, findet jedoch durch die Handschrift von Gary Groves dennoch seinen ganz eigenen Ausdruck und beeindruckt mit seiner gelungenen Ausführung. Die Klinge besteht aus 440C und ist hochglanzpoliert, ebenso wie das Edelstahl-Parierstück. Das Magnum Collection 2019 ist limitiert auf 1.999 Stück weltweit. Die Auslieferung erfolgt mit einer hochwertigen Lederscheide in einer exklusiven Sammlerschatulle und mit Echtheitszertifikat.Marke
Böker Magnum
Gesamtlänge
335 mm
Klingenlänge
215 mm
Grifflänge
120 mm
Gewicht
396 g
Designer
Gary Groves
Klingenmaterial
440C
Herkunft
Asien
Farbe
Braun</t>
  </si>
  <si>
    <t>United Cutlery Gil Hibben Assault</t>
  </si>
  <si>
    <t>Böker Plus All Black Pro 42</t>
  </si>
  <si>
    <t>01bp0055</t>
  </si>
  <si>
    <t>Das Böker Plus All Black Pro 42 ist ein sauber und stimmig durchkonstruiertes Einsatzmesser erster Güte. Die Griffschalen aus konturiertem, faserverstärktem Kunststoff bieten einen sicheren Halt und liegen sowohl mit als auch ohne Handschuh hervorragend in der Hand. Der faserverstärkte Kunststoff sorgt für eine hohe Stabilität und Strapazierfähigkeit, während die konturierten Formen des Griffs eine exzellente Ergonomie bieten, die selbst bei längeren Einsätzen für maximalen Komfort sorgt.
Die schwarz beschichtete Klinge aus hochwertigem D2-Stahl bietet eine ausgezeichnete Schnitthaltigkeit und Widerstandsfähigkeit gegen Abnutzung. D2-Stahl ist besonders bekannt für seine hohe Härte und seine Fähigkeit, auch bei intensivem Gebrauch lange scharf zu bleiben. Gleichzeitig zeichnet sich D2 durch eine gute Korrosionsbeständigkeit aus, was es zu einem idealen Material für den Einsatz in anspruchsvollen Umgebungen macht. Der Klingenrücken ist mit einem weiten Innenradius ausgestattet, der als Daumenauflage dient und zusätzliche Kontrolle sowie Komfort bei der Nutzung bietet.
Ein präzise positionierter Linerlock sorgt dafür, dass die Klinge zuverlässig und spielfrei arretiert wird. Diese Verriegelung bietet zusätzliche Sicherheit und eine stabile Handhabung bei allen Anwendungen. Der Linerlock-Mechanismus ist benutzerfreundlich und garantiert eine problemlose Handhabung, selbst bei anspruchsvolleren Schneidaufgaben.
Die Zweihandversion des Böker Plus All Black Pro ist mit einem Nagelhau ausgestattet und erfüllt somit die Anforderungen des deutschen Waffengesetzes nach §42a. Dies macht das Messer für alle rechtlichen Anforderungen eines Zweihandmessers tauglich. Der Nagelhau ermöglicht das Öffnen der Klinge mit beiden Händen, was das Messer zur perfekten Wahl für Nutzer macht, die klassische Mechanismen bevorzugen und gleichzeitig sicherstellen wollen, dass das Messer den gesetzlichen Bestimmungen entspricht.
Der ebenfalls schwarz beschichtete Clip zur Tip-down-Trageweise sorgt für eine stabile Befestigung des Messers an der Tasche oder dem Gürtel. Der Clip ist mit drei Schrauben sicher montiert und garantiert so eine hohe Haltbarkeit und Stabilität, selbst bei intensiver Nutzung unter verschiedenen Bedingungen.
Das Messer wird mit einer robusten Gürteltasche aus kräftigem Nylon geliefert, die mit einem Klettverschluss ausgestattet ist. Diese Tasche bietet zusätzlichen Schutz für das Messer und ermöglicht eine bequeme und sichere Aufbewahrung sowie den Transport, ohne dass das Messer durch äußere Einflüsse beschädigt wird.
Das Böker Plus All Black Pro ist ein ideales Werkzeug für alle, die ein hochwertiges, zuverlässiges und gesetzeskonformes Einsatzmesser suchen. Mit seiner durchdachten Konstruktion, den erstklassigen Materialien und der Zweihandbedienung ist es die perfekte Wahl für klassische Messerfreunde und Profis, die Wert auf Qualität und Funktionalität legen.Gesamtlänge: 19,5 cm
Klingenlänge: 8,0 cm
Gewicht: 118 g
Klingenstärke: 2,8 mm
Klingenmaterial: D2
Griffmaterial: Kunststoff
Verschluss: Linerlock</t>
  </si>
  <si>
    <t>01bp0056</t>
  </si>
  <si>
    <t>Böker Plus Advance Desert Pro</t>
  </si>
  <si>
    <t>Böker plus</t>
  </si>
  <si>
    <t xml:space="preserve">Das Böker Plus Advance Desert Pro hat seine Heimat im professionellen taktischen, militärischen und zivilen Umfeld. Es wurde entwickelt, um selbst den härtesten Anforderungen standzuhalten und überzeugt durch eine robuste Konstruktion, zuverlässige Mechanik und hervorragende Handhabung.
Der ergonomisch geformte Griff aus faserverstärktem Kunststoff ist mit partiellen, rutschfesten Hartgummieinlagen versehen, die auch bei Feuchtigkeit, Kälte oder Nässe eine sichere Handhabung gewährleisten. Der faserverstärkte Kunststoff zeichnet sich durch seine hohe Stabilität, sein geringes Gewicht und seine Widerstandsfähigkeit gegenüber Abrieb und chemischen Einflüssen aus  ideal für den professionellen Einsatz.
Die schwarz beschichtete Spearpoint-Klinge besteht aus hochwertigem D2-Stahl, der für seine ausgezeichnete Schnitthaltigkeit und Härte bekannt ist. D2-Stahl bietet eine hervorragende Balance zwischen Schärfeerhalt und Korrosionsbeständigkeit und ist somit perfekt für Messer geeignet, die regelmäßig unter anspruchsvollen Bedingungen verwendet werden. Die Beschichtung schützt zusätzlich vor Reflexionen und Kratzern, während der Schliff eine hohe Schneidleistung garantiert.
Der präzise arbeitende Linerlock sorgt für eine sichere, spielfreie Verriegelung der Klinge und gewährleistet maximale Zuverlässigkeit im täglichen Gebrauch. Diese Konstruktion ermöglicht eine stabile Arretierung und eine sichere Handhabung, auch bei härteren Schneidarbeiten.
Die Einhandversion des Böker Plus Advance Desert Pro ist für den Einsatz unter widrigen Bedingungen konzipiert  sei es bei Kälte, Schlamm oder Feuchtigkeit, oder wenn jede Sekunde zählt. Für die schnelle Öffnung stehen sowohl ein Daumenpin als auch ein Flipper zur Verfügung, wodurch das Messer mühelos mit einer Hand geöffnet werden kann.
Ein breiter, schwarz beschichteter Clip in Tip-down-Trageweise hält das Messer sicher und griffbereit in Position. Der Clip ist mit drei Schrauben stabil montiert und sorgt für eine zuverlässige Befestigung am Gürtel oder in der Tasche. Zusätzlich verfügt das Messer über eine praktische Fangriemenöse, die zur zusätzlichen Sicherung oder individuellen Anpassung mit Paracord genutzt werden kann.
Zum Lieferumfang gehört eine strapazierfähige Gürteltasche aus kräftigem Nylon, die das Messer zuverlässig schützt und einen komfortablen Transport ermöglicht. Die Tasche ist robust verarbeitet und eignet sich ideal für den täglichen Einsatz.
Das Böker Plus Advance Desert Pro ist die perfekte Wahl für Anwender, die ein hochwertiges, taktisches Einsatzmesser mit D2-Klinge, durchdachter Ergonomie und zuverlässiger Mechanik suchen. Es vereint Robustheit, Präzision und Funktionalität in einem modernen Design  ein unverzichtbares Werkzeug für Profis und Outdoor-Enthusiasten.Gesamtlänge: 21,3 cm
Klingenlänge: 9,5 cm
Gewicht: 130 g
Klingenstärke: 2,7 mm
Klingenmaterial: D2
Griffmaterial: Kunststoff
Verschluss: Linerlock
 </t>
  </si>
  <si>
    <t>01dmax004</t>
  </si>
  <si>
    <t>DMAX Chainsaw Attendant</t>
  </si>
  <si>
    <t>dmax</t>
  </si>
  <si>
    <t>Damit Du in jeder Situation Herr der Lage bleibt, haben wir gemeinsam mit der Böker Manufaktur Solingen, dem Marktführer für Taschen- und Outdoormesser mit über 150 Jahren Erfahrung, das passende Outdoor-Equipment für Dich entwickelt.
Wir wissen genau, was Alltagshelden in der Komfortzone und darüber hinaus brauchen: standhafte Klappmesser, kraftvolle Messer mit feststehender Klinge oder praktische und geniale Tools - gehalten im lässigen DMAX-Style und wie gemacht für Dich und Deine Buddies.
 Gesamtlänge: 22,3 cm
Klingenlänge: 9,0 cm
Gewicht: 184 g
Klingenstärke: 3,2 mm
Klingenmaterial: 440B
Griffmaterial: Kunststoff
Verschluss: Linerlock</t>
  </si>
  <si>
    <t>01hy001</t>
  </si>
  <si>
    <t>History Knife &amp; Tool Japanese Army Pen Knife Can Opener</t>
  </si>
  <si>
    <t>Dieses extrem kleine und flache Messer findet überall Platz: In der Jeans, dem Feldgeschirr, der Brotdose, dem Survivalset oder sogar im Portemonnaie. Die einfache Konstruktion aus gebogenem Edelstahlblech ermöglicht dabei so geringe Herstellungskosten, dass man sich leisten kann an mehreren Orten ein Backup-Messer zu deponieren. Der besondere Clou ist ein integrierter Dosenöffner nach Vorbild des legendären US Army Pocket Can Opener P-38. Dieser ist mit zwei massiven Nieten am Griff befestigt und kann mit dem Fangriemenbügel gegen unbeabsichtigtes Öffnen arretiert werden. Die mittelspitze Klinge aus rostfreiem 440er-Edelstahl verfügt über einen Nagelhau als Öffnungshilfe. Der Griff ist nach historischem Vorbild im authentischen Farbton Oliv Drab lackiert. 
Gesamtlänge: 13,0 cm
Klingenlänge: 5,0 cm
Gewicht: 30 g
Klingenstärke: 1,7 mm
Klingenmaterial: 440
Griffmaterial: Edelstahl</t>
  </si>
  <si>
    <t>01ks057</t>
  </si>
  <si>
    <t>Kershaw Cinder</t>
  </si>
  <si>
    <t>Das Cinder ist ein leistungsstarkes Messer in Schlüsselbundgröße und überzeugt mit hoher Schneidkraft. Seine Kllinge aus 3Cr13 ist mit einem Stonewash-Finish versehen und öffnet per Daumenpin. Der robuste, praktische schwarze Griff aus glasfaserverstärktem Nylon beherbergt den zuverlässigen Linerlock und ist zudem sehr widerstandsfähig und pflegeleicht. Für durstige Kehlen hält das feurige Cinder einen praktischen Flaschenöffner bereit. Mit Fangriemenöse.Gesamtlänge: 10,2 cm
Klingenlänge: 3,6 cm
Gewicht: 26 g
Klingenstärke: 2,3 mm
Klingenmaterial: 3Cr13
Griffmaterial: FRN
Verschluss: Linerlock</t>
  </si>
  <si>
    <t>01ru045</t>
  </si>
  <si>
    <t>K25 Mini</t>
  </si>
  <si>
    <t>Das überaus handliche K25 Mini ist mit einer beschichteten Klinge aus 3Cr13 ausgestattet, die per Flipper geöffnet wird. Der Griff besteht aus leichgewchtigem Aluminium. Mit Clip (Tip-down) und Fangriemenöse.Gesamtlänge: 12,5 cm
Klingenlänge: 5,6 cm
Gewicht: 87 g
Klingenstärke: 2,6 mm
Klingenmaterial: 3Cr13
Griffmaterial: Aluminium
Verschluss: Linerlock</t>
  </si>
  <si>
    <t>01ry294</t>
  </si>
  <si>
    <t>Magnum Chainsaw Attendant Satin</t>
  </si>
  <si>
    <t>Das Magnum Chainsaw Attendant ist ein unverwüstlicher, robuster und griffiger Begleiter für den Kettensägenführer. Fingermulden, signalfarbener Kunststoffgriff mit Mantel aus plastischem Elastomer, massive Edelstahlplatinen und ein Glasbrecher sind starke Ausstattungsmerkmale, die für sich sprechen. Die kugelgelagerte Droppoint-Klinge aus zähem und schnitthaltigem 440B-Stahl ist auch mit dicken Arbeitshandschuhen bequem zu öffnen. Ein großer Clip rundet die Praxistauglichkeit ab. Das Taschenmesser Chainsaw Attendant Satin ist mit einer unempfindlichen Satinierung und einem leicht nachschärfbaren glatten Schliff ausgestattet.Gesamtlänge: 22,3 cm
Klingenlänge: 9,0 cm
Gewicht: 184 g
Klingenstärke: 3,2 mm
Klingenmaterial: 440B
Griffmaterial: Kunststoff
Verschluss: Linerlock</t>
  </si>
  <si>
    <t>CS-39LSAB</t>
  </si>
  <si>
    <t>CS-39LSAA</t>
  </si>
  <si>
    <t xml:space="preserve">Fire Starter </t>
  </si>
  <si>
    <t>kershaw</t>
  </si>
  <si>
    <t>Einfacher und leicht zu benutzender Feueranzünder für Notfälle.
Besteht aus einem Magnesiumstab, der mit einer Stahlspachtelklinge verbunden ist.
Klein und leicht, ist es ein Muss in Ihrem Abenteuer Rucksack oder in der Erste-Hilfe-Kit.</t>
  </si>
  <si>
    <t>Gewicht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</si>
</sst>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CHF&quot;\ * #,##0.00_ ;_ &quot;CHF&quot;\ * \-#,##0.00_ ;_ &quot;CHF&quot;\ * &quot;-&quot;??_ ;_ @_ "/>
    <numFmt numFmtId="164" formatCode="_ &quot;Fr.&quot;\ * #,##0.00_ ;_ &quot;Fr.&quot;\ * \-#,##0.00_ ;_ &quot;Fr.&quot;\ * &quot;-&quot;??_ ;_ @_ "/>
    <numFmt numFmtId="165" formatCode="_ &quot;Fr.&quot;\ * #\'##0.00_ ;_ &quot;Fr.&quot;\ * \-#\'##0.00_ ;_ &quot;Fr.&quot;\ * &quot;-&quot;??_ ;_ @_ "/>
    <numFmt numFmtId="166" formatCode="_-* #,##0.00\ &quot;€&quot;_-;\-* #,##0.00\ &quot;€&quot;_-;_-* &quot;-&quot;??\ &quot;€&quot;_-;_-@_-"/>
  </numFmts>
  <fonts count="7" x14ac:knownFonts="1">
    <font>
      <sz val="11"/>
      <color theme="1"/>
      <name val="Calibri"/>
      <family val="2"/>
      <scheme val="minor"/>
    </font>
    <font>
      <sz val="11"/>
      <color theme="1"/>
      <name val="Calibri"/>
      <family val="2"/>
      <scheme val="minor"/>
    </font>
    <font>
      <sz val="8"/>
      <color theme="1"/>
      <name val="Calibri"/>
      <family val="2"/>
      <scheme val="minor"/>
    </font>
    <font>
      <sz val="8"/>
      <name val="Calibri"/>
      <family val="2"/>
      <scheme val="minor"/>
    </font>
    <font>
      <u/>
      <sz val="11"/>
      <color theme="10"/>
      <name val="Calibri"/>
      <family val="2"/>
      <scheme val="minor"/>
    </font>
    <font>
      <u/>
      <sz val="8"/>
      <name val="Calibri"/>
      <family val="2"/>
      <scheme val="minor"/>
    </font>
    <font>
      <sz val="11"/>
      <color indexed="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0">
    <xf numFmtId="0" fontId="0" fillId="0" borderId="0"/>
    <xf numFmtId="44" fontId="1" fillId="0" borderId="0" applyFont="0" applyFill="0" applyBorder="0" applyAlignment="0" applyProtection="0"/>
    <xf numFmtId="0" fontId="4" fillId="0" borderId="0" applyNumberForma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6" fillId="0" borderId="0"/>
    <xf numFmtId="166" fontId="1" fillId="0" borderId="0" applyFont="0" applyFill="0" applyBorder="0" applyAlignment="0" applyProtection="0"/>
    <xf numFmtId="164" fontId="1" fillId="0" borderId="0" applyFont="0" applyFill="0" applyBorder="0" applyAlignment="0" applyProtection="0"/>
  </cellStyleXfs>
  <cellXfs count="21">
    <xf numFmtId="0" fontId="0" fillId="0" borderId="0" xfId="0"/>
    <xf numFmtId="0" fontId="2" fillId="0" borderId="1" xfId="0" applyFont="1" applyBorder="1" applyAlignment="1">
      <alignment vertical="center"/>
    </xf>
    <xf numFmtId="0" fontId="2" fillId="0" borderId="1" xfId="0" applyFont="1" applyBorder="1" applyAlignment="1">
      <alignment horizontal="left" vertical="center"/>
    </xf>
    <xf numFmtId="0" fontId="2" fillId="0" borderId="1" xfId="1" applyNumberFormat="1" applyFont="1" applyBorder="1" applyAlignment="1">
      <alignment vertical="center"/>
    </xf>
    <xf numFmtId="0" fontId="2" fillId="0" borderId="0" xfId="0" applyFont="1" applyAlignment="1">
      <alignment vertical="center"/>
    </xf>
    <xf numFmtId="0" fontId="2" fillId="0" borderId="0" xfId="0" applyFont="1" applyAlignment="1">
      <alignment horizontal="left" vertical="center"/>
    </xf>
    <xf numFmtId="164" fontId="2" fillId="0" borderId="0" xfId="1" applyNumberFormat="1" applyFont="1" applyAlignment="1">
      <alignment vertical="center"/>
    </xf>
    <xf numFmtId="0" fontId="2" fillId="0" borderId="0" xfId="1" applyNumberFormat="1" applyFont="1" applyAlignment="1">
      <alignment vertical="center"/>
    </xf>
    <xf numFmtId="0" fontId="2" fillId="0" borderId="1" xfId="0" applyFont="1" applyBorder="1" applyAlignment="1">
      <alignment horizontal="center" vertical="center"/>
    </xf>
    <xf numFmtId="0" fontId="3" fillId="0" borderId="1" xfId="1" applyNumberFormat="1" applyFont="1" applyFill="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xf>
    <xf numFmtId="1" fontId="3" fillId="0" borderId="1" xfId="0" applyNumberFormat="1" applyFont="1" applyBorder="1" applyAlignment="1">
      <alignment vertical="center"/>
    </xf>
    <xf numFmtId="164" fontId="3" fillId="0" borderId="1" xfId="0" applyNumberFormat="1" applyFont="1" applyBorder="1" applyAlignment="1">
      <alignment vertical="center"/>
    </xf>
    <xf numFmtId="0" fontId="3" fillId="0" borderId="0" xfId="0" applyFont="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5" fillId="0" borderId="1" xfId="2" applyFont="1" applyFill="1" applyBorder="1" applyAlignment="1">
      <alignment vertical="center"/>
    </xf>
    <xf numFmtId="0" fontId="3" fillId="0" borderId="1" xfId="5" applyNumberFormat="1" applyFont="1" applyFill="1" applyBorder="1" applyAlignment="1">
      <alignment vertical="center"/>
    </xf>
    <xf numFmtId="0" fontId="3" fillId="0" borderId="1" xfId="6" applyNumberFormat="1" applyFont="1" applyFill="1" applyBorder="1" applyAlignment="1">
      <alignment vertical="center"/>
    </xf>
    <xf numFmtId="0" fontId="3" fillId="0" borderId="0" xfId="0" applyFont="1" applyAlignment="1">
      <alignment vertical="center" wrapText="1"/>
    </xf>
  </cellXfs>
  <cellStyles count="10">
    <cellStyle name="Link" xfId="2" builtinId="8"/>
    <cellStyle name="Standard" xfId="0" builtinId="0"/>
    <cellStyle name="Standard 2" xfId="7" xr:uid="{C6348820-8E85-46B0-B5EA-02FBCCC211A6}"/>
    <cellStyle name="Währung" xfId="1" builtinId="4"/>
    <cellStyle name="Währung 2" xfId="3" xr:uid="{2C27D4A0-A690-47D6-B132-4162D3A33498}"/>
    <cellStyle name="Währung 2 2 2" xfId="6" xr:uid="{221F709C-A724-4FAC-8B45-DAED25DA39F4}"/>
    <cellStyle name="Währung 3" xfId="8" xr:uid="{C0C77DBA-CD89-4C03-8F36-3D35C141A5BC}"/>
    <cellStyle name="Währung 4" xfId="4" xr:uid="{5EB333DD-41A7-4E88-B4BE-60A0FCF2B9CF}"/>
    <cellStyle name="Währung 5" xfId="5" xr:uid="{8D67345A-E7A7-41B4-B6D6-95B6527A21B7}"/>
    <cellStyle name="Währung 6" xfId="9" xr:uid="{0D1948EC-F3CB-43D7-9391-D258E99699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DB16-D292-4116-96D8-481CA0708916}">
  <sheetPr codeName="Tabelle3"/>
  <dimension ref="A1:AC323"/>
  <sheetViews>
    <sheetView tabSelected="1" topLeftCell="A280" zoomScaleNormal="100" workbookViewId="0">
      <selection activeCell="F294" sqref="F294"/>
    </sheetView>
  </sheetViews>
  <sheetFormatPr baseColWidth="10" defaultColWidth="11.42578125" defaultRowHeight="11.25" x14ac:dyDescent="0.25"/>
  <cols>
    <col min="1" max="1" width="3.5703125" style="4" bestFit="1" customWidth="1"/>
    <col min="2" max="2" width="2.7109375" style="4" bestFit="1" customWidth="1"/>
    <col min="3" max="3" width="2.5703125" style="4" bestFit="1" customWidth="1"/>
    <col min="4" max="4" width="2.7109375" style="4" bestFit="1" customWidth="1"/>
    <col min="5" max="5" width="3" style="4" bestFit="1" customWidth="1"/>
    <col min="6" max="6" width="4.7109375" style="4" bestFit="1" customWidth="1"/>
    <col min="7" max="7" width="11.5703125" style="5" bestFit="1" customWidth="1"/>
    <col min="8" max="8" width="7.7109375" style="4" bestFit="1" customWidth="1"/>
    <col min="9" max="9" width="39.5703125" style="4" customWidth="1"/>
    <col min="10" max="10" width="25.7109375" style="4" bestFit="1" customWidth="1"/>
    <col min="11" max="11" width="11.85546875" style="4" bestFit="1" customWidth="1"/>
    <col min="12" max="12" width="12" style="7" bestFit="1" customWidth="1"/>
    <col min="13" max="13" width="9.85546875" style="4" bestFit="1" customWidth="1"/>
    <col min="14" max="14" width="10" style="7" bestFit="1" customWidth="1"/>
    <col min="15" max="15" width="11.5703125" style="4" bestFit="1" customWidth="1"/>
    <col min="16" max="16" width="10.5703125" style="4" bestFit="1" customWidth="1"/>
    <col min="17" max="17" width="12" style="4" bestFit="1" customWidth="1"/>
    <col min="18" max="18" width="12.140625" style="4" bestFit="1" customWidth="1"/>
    <col min="19" max="19" width="255.7109375" style="4" bestFit="1" customWidth="1"/>
    <col min="20" max="20" width="99.5703125" style="4" bestFit="1" customWidth="1"/>
    <col min="21" max="21" width="64.85546875" style="4" bestFit="1" customWidth="1"/>
    <col min="22" max="22" width="92.42578125" style="4" bestFit="1" customWidth="1"/>
    <col min="23" max="23" width="11.42578125" style="4" bestFit="1"/>
    <col min="24" max="24" width="14.140625" style="4" bestFit="1" customWidth="1"/>
    <col min="25" max="25" width="37.28515625" style="4" bestFit="1" customWidth="1"/>
    <col min="26" max="26" width="10.5703125" style="4" bestFit="1" customWidth="1"/>
    <col min="27" max="27" width="11.140625" style="4" bestFit="1" customWidth="1"/>
    <col min="28" max="28" width="10.42578125" style="4" bestFit="1" customWidth="1"/>
    <col min="29" max="16384" width="11.42578125" style="4"/>
  </cols>
  <sheetData>
    <row r="1" spans="1:29" ht="15" customHeight="1" x14ac:dyDescent="0.25">
      <c r="A1" s="1"/>
      <c r="B1" s="1" t="s">
        <v>0</v>
      </c>
      <c r="C1" s="1" t="s">
        <v>1</v>
      </c>
      <c r="D1" s="1" t="s">
        <v>2</v>
      </c>
      <c r="E1" s="1" t="s">
        <v>3</v>
      </c>
      <c r="F1" s="1" t="s">
        <v>4</v>
      </c>
      <c r="G1" s="2" t="s">
        <v>5</v>
      </c>
      <c r="H1" s="1" t="s">
        <v>6</v>
      </c>
      <c r="I1" s="1" t="s">
        <v>7</v>
      </c>
      <c r="J1" s="1" t="s">
        <v>8</v>
      </c>
      <c r="K1" s="1" t="s">
        <v>9</v>
      </c>
      <c r="L1" s="3" t="s">
        <v>10</v>
      </c>
      <c r="M1" s="1" t="s">
        <v>11</v>
      </c>
      <c r="N1" s="3"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8" t="s">
        <v>875</v>
      </c>
    </row>
    <row r="2" spans="1:29" s="14" customFormat="1" ht="15" customHeight="1" x14ac:dyDescent="0.25">
      <c r="A2" s="10">
        <v>1</v>
      </c>
      <c r="B2" s="10"/>
      <c r="C2" s="10"/>
      <c r="D2" s="10"/>
      <c r="E2" s="10"/>
      <c r="F2" s="10">
        <v>3</v>
      </c>
      <c r="G2" s="11">
        <v>10167006000</v>
      </c>
      <c r="H2" s="10">
        <v>1</v>
      </c>
      <c r="I2" s="10" t="s">
        <v>29</v>
      </c>
      <c r="J2" s="10" t="s">
        <v>30</v>
      </c>
      <c r="K2" s="10"/>
      <c r="L2" s="9">
        <v>82</v>
      </c>
      <c r="M2" s="10">
        <v>53</v>
      </c>
      <c r="N2" s="9">
        <v>34.15</v>
      </c>
      <c r="O2" s="10">
        <f t="shared" ref="O2:O36" si="0">G2</f>
        <v>10167006000</v>
      </c>
      <c r="P2" s="10" t="s">
        <v>31</v>
      </c>
      <c r="Q2" s="10" t="s">
        <v>32</v>
      </c>
      <c r="R2" s="12"/>
      <c r="S2" s="10" t="s">
        <v>33</v>
      </c>
      <c r="T2" s="10" t="str">
        <f t="shared" ref="T2:T36" si="1">$I2 &amp; "," &amp; $J2 &amp;"," &amp; $P2 &amp;","&amp; $Q2</f>
        <v>Walther MachTac 2 Machete,Accueil,Messer plus,feste Klinge,Airsoft,Walther</v>
      </c>
      <c r="U2" s="10" t="str">
        <f t="shared" ref="U2:U36" si="2">I2</f>
        <v>Walther MachTac 2 Machete</v>
      </c>
      <c r="V2" s="10" t="str">
        <f>T2</f>
        <v>Walther MachTac 2 Machete,Accueil,Messer plus,feste Klinge,Airsoft,Walther</v>
      </c>
      <c r="W2" s="10">
        <v>1</v>
      </c>
      <c r="X2" s="10">
        <v>1</v>
      </c>
      <c r="Y2" s="10" t="str">
        <f t="shared" ref="Y2:Y36" si="3" xml:space="preserve"> "http://usfh.ch/img/Messer/" &amp; G2 &amp; ".jpg"</f>
        <v>http://usfh.ch/img/Messer/10167006000.jpg</v>
      </c>
      <c r="Z2" s="10">
        <f t="shared" ref="Z2:Z36" si="4">G2</f>
        <v>10167006000</v>
      </c>
      <c r="AA2" s="13">
        <f t="shared" ref="AA2:AA36" si="5">F2*L2</f>
        <v>246</v>
      </c>
      <c r="AB2" s="13">
        <f t="shared" ref="AB2:AB36" si="6">F2*N2</f>
        <v>102.44999999999999</v>
      </c>
      <c r="AC2" s="10">
        <v>0.5</v>
      </c>
    </row>
    <row r="3" spans="1:29" s="14" customFormat="1" ht="15" customHeight="1" x14ac:dyDescent="0.25">
      <c r="A3" s="10">
        <v>2</v>
      </c>
      <c r="B3" s="10"/>
      <c r="C3" s="10"/>
      <c r="D3" s="10"/>
      <c r="E3" s="10"/>
      <c r="F3" s="10">
        <v>1</v>
      </c>
      <c r="G3" s="11">
        <v>5266</v>
      </c>
      <c r="H3" s="10">
        <v>1</v>
      </c>
      <c r="I3" s="10" t="s">
        <v>34</v>
      </c>
      <c r="J3" s="10" t="s">
        <v>27</v>
      </c>
      <c r="K3" s="10"/>
      <c r="L3" s="9">
        <v>35</v>
      </c>
      <c r="M3" s="10">
        <v>53</v>
      </c>
      <c r="N3" s="9">
        <v>16.8</v>
      </c>
      <c r="O3" s="10">
        <f t="shared" si="0"/>
        <v>5266</v>
      </c>
      <c r="P3" s="10" t="s">
        <v>31</v>
      </c>
      <c r="Q3" s="10" t="s">
        <v>35</v>
      </c>
      <c r="R3" s="12"/>
      <c r="S3" s="10" t="s">
        <v>36</v>
      </c>
      <c r="T3" s="10" t="str">
        <f t="shared" si="1"/>
        <v>Messer 24/7 CK109 Folder Smith &amp; Wesson,Accueil,Messer plus,Klappmesser,Airsoft,Smith &amp; Wesson</v>
      </c>
      <c r="U3" s="10" t="str">
        <f t="shared" si="2"/>
        <v>Messer 24/7 CK109 Folder Smith &amp; Wesson</v>
      </c>
      <c r="V3" s="10" t="s">
        <v>37</v>
      </c>
      <c r="W3" s="10">
        <v>1</v>
      </c>
      <c r="X3" s="10">
        <v>1</v>
      </c>
      <c r="Y3" s="10" t="str">
        <f t="shared" si="3"/>
        <v>http://usfh.ch/img/Messer/5266.jpg</v>
      </c>
      <c r="Z3" s="10">
        <f t="shared" si="4"/>
        <v>5266</v>
      </c>
      <c r="AA3" s="13">
        <f t="shared" si="5"/>
        <v>35</v>
      </c>
      <c r="AB3" s="13">
        <f t="shared" si="6"/>
        <v>16.8</v>
      </c>
      <c r="AC3" s="10">
        <v>0.5</v>
      </c>
    </row>
    <row r="4" spans="1:29" s="14" customFormat="1" ht="15" customHeight="1" x14ac:dyDescent="0.25">
      <c r="A4" s="10">
        <v>3</v>
      </c>
      <c r="B4" s="10">
        <v>2</v>
      </c>
      <c r="C4" s="10">
        <v>2</v>
      </c>
      <c r="D4" s="10"/>
      <c r="E4" s="10"/>
      <c r="F4" s="10">
        <v>6</v>
      </c>
      <c r="G4" s="11" t="s">
        <v>38</v>
      </c>
      <c r="H4" s="10">
        <v>1</v>
      </c>
      <c r="I4" s="10" t="s">
        <v>39</v>
      </c>
      <c r="J4" s="10" t="s">
        <v>27</v>
      </c>
      <c r="K4" s="10"/>
      <c r="L4" s="9">
        <v>49</v>
      </c>
      <c r="M4" s="10">
        <v>53</v>
      </c>
      <c r="N4" s="9">
        <v>11.5</v>
      </c>
      <c r="O4" s="10" t="str">
        <f t="shared" si="0"/>
        <v>01MB856</v>
      </c>
      <c r="P4" s="10" t="s">
        <v>40</v>
      </c>
      <c r="Q4" s="10" t="s">
        <v>41</v>
      </c>
      <c r="R4" s="12">
        <v>4045011055843</v>
      </c>
      <c r="S4" s="10" t="s">
        <v>42</v>
      </c>
      <c r="T4" s="10" t="str">
        <f t="shared" si="1"/>
        <v>USN Seals Taktische Einsatzmesser,Accueil,Messer plus,Klappmesser,Böker,Magnum</v>
      </c>
      <c r="U4" s="10" t="str">
        <f t="shared" si="2"/>
        <v>USN Seals Taktische Einsatzmesser</v>
      </c>
      <c r="V4" s="10" t="s">
        <v>43</v>
      </c>
      <c r="W4" s="10">
        <v>1</v>
      </c>
      <c r="X4" s="10">
        <v>1</v>
      </c>
      <c r="Y4" s="10" t="str">
        <f t="shared" si="3"/>
        <v>http://usfh.ch/img/Messer/01MB856.jpg</v>
      </c>
      <c r="Z4" s="10" t="str">
        <f t="shared" si="4"/>
        <v>01MB856</v>
      </c>
      <c r="AA4" s="13">
        <f t="shared" si="5"/>
        <v>294</v>
      </c>
      <c r="AB4" s="13">
        <f t="shared" si="6"/>
        <v>69</v>
      </c>
      <c r="AC4" s="10">
        <v>0.5</v>
      </c>
    </row>
    <row r="5" spans="1:29" s="14" customFormat="1" ht="15" customHeight="1" x14ac:dyDescent="0.25">
      <c r="A5" s="10">
        <v>4</v>
      </c>
      <c r="B5" s="10"/>
      <c r="C5" s="10"/>
      <c r="D5" s="10"/>
      <c r="E5" s="10"/>
      <c r="F5" s="10">
        <v>2</v>
      </c>
      <c r="G5" s="11">
        <v>88211</v>
      </c>
      <c r="H5" s="10">
        <v>1</v>
      </c>
      <c r="I5" s="10" t="s">
        <v>46</v>
      </c>
      <c r="J5" s="10" t="s">
        <v>30</v>
      </c>
      <c r="K5" s="10"/>
      <c r="L5" s="9">
        <v>116</v>
      </c>
      <c r="M5" s="10">
        <v>53</v>
      </c>
      <c r="N5" s="9">
        <v>42.5</v>
      </c>
      <c r="O5" s="10">
        <f t="shared" si="0"/>
        <v>88211</v>
      </c>
      <c r="P5" s="10" t="s">
        <v>44</v>
      </c>
      <c r="Q5" s="10" t="s">
        <v>45</v>
      </c>
      <c r="R5" s="12">
        <v>4050346882118</v>
      </c>
      <c r="S5" s="10" t="s">
        <v>47</v>
      </c>
      <c r="T5" s="10" t="str">
        <f t="shared" si="1"/>
        <v>BlackField HAMMER,Accueil,Messer plus,feste Klinge,Haller,Black Field</v>
      </c>
      <c r="U5" s="10" t="str">
        <f t="shared" si="2"/>
        <v>BlackField HAMMER</v>
      </c>
      <c r="V5" s="10" t="s">
        <v>48</v>
      </c>
      <c r="W5" s="10">
        <v>1</v>
      </c>
      <c r="X5" s="10">
        <v>1</v>
      </c>
      <c r="Y5" s="10" t="str">
        <f t="shared" si="3"/>
        <v>http://usfh.ch/img/Messer/88211.jpg</v>
      </c>
      <c r="Z5" s="10">
        <f t="shared" si="4"/>
        <v>88211</v>
      </c>
      <c r="AA5" s="13">
        <f t="shared" si="5"/>
        <v>232</v>
      </c>
      <c r="AB5" s="13">
        <f t="shared" si="6"/>
        <v>85</v>
      </c>
      <c r="AC5" s="10">
        <v>0.5</v>
      </c>
    </row>
    <row r="6" spans="1:29" s="14" customFormat="1" ht="15" customHeight="1" x14ac:dyDescent="0.25">
      <c r="A6" s="10">
        <v>5</v>
      </c>
      <c r="B6" s="10"/>
      <c r="C6" s="10"/>
      <c r="D6" s="10"/>
      <c r="E6" s="10"/>
      <c r="F6" s="10">
        <v>1</v>
      </c>
      <c r="G6" s="11" t="s">
        <v>729</v>
      </c>
      <c r="H6" s="10">
        <v>1</v>
      </c>
      <c r="I6" s="10" t="s">
        <v>49</v>
      </c>
      <c r="J6" s="10" t="s">
        <v>27</v>
      </c>
      <c r="K6" s="10"/>
      <c r="L6" s="9">
        <v>97</v>
      </c>
      <c r="M6" s="10">
        <v>53</v>
      </c>
      <c r="N6" s="9">
        <v>49</v>
      </c>
      <c r="O6" s="10" t="str">
        <f t="shared" si="0"/>
        <v>01MA078</v>
      </c>
      <c r="P6" s="10" t="s">
        <v>40</v>
      </c>
      <c r="Q6" s="10" t="s">
        <v>50</v>
      </c>
      <c r="R6" s="12">
        <v>4050346743228</v>
      </c>
      <c r="S6" s="10" t="s">
        <v>51</v>
      </c>
      <c r="T6" s="10" t="str">
        <f t="shared" si="1"/>
        <v>Maserin Pilzmesser,Accueil,Messer plus,Klappmesser,Böker,Maserin</v>
      </c>
      <c r="U6" s="10" t="str">
        <f t="shared" si="2"/>
        <v>Maserin Pilzmesser</v>
      </c>
      <c r="V6" s="10" t="s">
        <v>52</v>
      </c>
      <c r="W6" s="10">
        <v>0</v>
      </c>
      <c r="X6" s="10">
        <v>1</v>
      </c>
      <c r="Y6" s="10" t="str">
        <f t="shared" si="3"/>
        <v>http://usfh.ch/img/Messer/01MA078.jpg</v>
      </c>
      <c r="Z6" s="10" t="str">
        <f t="shared" si="4"/>
        <v>01MA078</v>
      </c>
      <c r="AA6" s="13">
        <f t="shared" si="5"/>
        <v>97</v>
      </c>
      <c r="AB6" s="13">
        <f t="shared" si="6"/>
        <v>49</v>
      </c>
      <c r="AC6" s="10">
        <v>0.5</v>
      </c>
    </row>
    <row r="7" spans="1:29" s="14" customFormat="1" ht="15" customHeight="1" x14ac:dyDescent="0.25">
      <c r="A7" s="10">
        <v>6</v>
      </c>
      <c r="B7" s="10">
        <v>1</v>
      </c>
      <c r="C7" s="10"/>
      <c r="D7" s="10"/>
      <c r="E7" s="10"/>
      <c r="F7" s="10">
        <v>3</v>
      </c>
      <c r="G7" s="11">
        <v>10335006000</v>
      </c>
      <c r="H7" s="10">
        <v>1</v>
      </c>
      <c r="I7" s="10" t="s">
        <v>53</v>
      </c>
      <c r="J7" s="10" t="s">
        <v>30</v>
      </c>
      <c r="K7" s="10"/>
      <c r="L7" s="9">
        <v>49</v>
      </c>
      <c r="M7" s="10">
        <v>53</v>
      </c>
      <c r="N7" s="9">
        <v>22.6</v>
      </c>
      <c r="O7" s="10">
        <f t="shared" si="0"/>
        <v>10335006000</v>
      </c>
      <c r="P7" s="10" t="s">
        <v>31</v>
      </c>
      <c r="Q7" s="10" t="s">
        <v>32</v>
      </c>
      <c r="R7" s="12"/>
      <c r="S7" s="10" t="s">
        <v>54</v>
      </c>
      <c r="T7" s="10" t="str">
        <f t="shared" si="1"/>
        <v>P99 Knife,Accueil,Messer plus,feste Klinge,Airsoft,Walther</v>
      </c>
      <c r="U7" s="10" t="str">
        <f t="shared" si="2"/>
        <v>P99 Knife</v>
      </c>
      <c r="V7" s="10" t="s">
        <v>55</v>
      </c>
      <c r="W7" s="10">
        <v>1</v>
      </c>
      <c r="X7" s="10">
        <v>1</v>
      </c>
      <c r="Y7" s="10" t="str">
        <f t="shared" si="3"/>
        <v>http://usfh.ch/img/Messer/10335006000.jpg</v>
      </c>
      <c r="Z7" s="10">
        <f t="shared" si="4"/>
        <v>10335006000</v>
      </c>
      <c r="AA7" s="13">
        <f t="shared" si="5"/>
        <v>147</v>
      </c>
      <c r="AB7" s="13">
        <f t="shared" si="6"/>
        <v>67.800000000000011</v>
      </c>
      <c r="AC7" s="10">
        <v>0.5</v>
      </c>
    </row>
    <row r="8" spans="1:29" s="14" customFormat="1" ht="15" customHeight="1" x14ac:dyDescent="0.25">
      <c r="A8" s="10">
        <v>7</v>
      </c>
      <c r="B8" s="10"/>
      <c r="C8" s="10"/>
      <c r="D8" s="10"/>
      <c r="E8" s="10"/>
      <c r="F8" s="10">
        <v>5</v>
      </c>
      <c r="G8" s="11" t="s">
        <v>56</v>
      </c>
      <c r="H8" s="10">
        <v>1</v>
      </c>
      <c r="I8" s="10" t="s">
        <v>57</v>
      </c>
      <c r="J8" s="10" t="s">
        <v>30</v>
      </c>
      <c r="K8" s="10"/>
      <c r="L8" s="9">
        <v>35</v>
      </c>
      <c r="M8" s="10">
        <v>53</v>
      </c>
      <c r="N8" s="9">
        <v>8.3000000000000007</v>
      </c>
      <c r="O8" s="10" t="str">
        <f t="shared" si="0"/>
        <v>02SC745</v>
      </c>
      <c r="P8" s="10" t="s">
        <v>40</v>
      </c>
      <c r="Q8" s="10" t="s">
        <v>41</v>
      </c>
      <c r="R8" s="12">
        <v>4045011094446</v>
      </c>
      <c r="S8" s="10" t="s">
        <v>58</v>
      </c>
      <c r="T8" s="10" t="str">
        <f t="shared" si="1"/>
        <v>Li'L Friend Clip Poin,Accueil,Messer plus,feste Klinge,Böker,Magnum</v>
      </c>
      <c r="U8" s="10" t="str">
        <f t="shared" si="2"/>
        <v>Li'L Friend Clip Poin</v>
      </c>
      <c r="V8" s="10" t="s">
        <v>59</v>
      </c>
      <c r="W8" s="10">
        <v>1</v>
      </c>
      <c r="X8" s="10">
        <v>1</v>
      </c>
      <c r="Y8" s="10" t="str">
        <f t="shared" si="3"/>
        <v>http://usfh.ch/img/Messer/02SC745.jpg</v>
      </c>
      <c r="Z8" s="10" t="str">
        <f t="shared" si="4"/>
        <v>02SC745</v>
      </c>
      <c r="AA8" s="13">
        <f t="shared" si="5"/>
        <v>175</v>
      </c>
      <c r="AB8" s="13">
        <f t="shared" si="6"/>
        <v>41.5</v>
      </c>
      <c r="AC8" s="10">
        <v>0.5</v>
      </c>
    </row>
    <row r="9" spans="1:29" s="14" customFormat="1" ht="15" customHeight="1" x14ac:dyDescent="0.25">
      <c r="A9" s="10">
        <v>8</v>
      </c>
      <c r="B9" s="10"/>
      <c r="C9" s="10"/>
      <c r="D9" s="10"/>
      <c r="E9" s="10"/>
      <c r="F9" s="10">
        <v>1</v>
      </c>
      <c r="G9" s="11" t="s">
        <v>61</v>
      </c>
      <c r="H9" s="10">
        <v>1</v>
      </c>
      <c r="I9" s="10" t="s">
        <v>62</v>
      </c>
      <c r="J9" s="10" t="s">
        <v>30</v>
      </c>
      <c r="K9" s="10"/>
      <c r="L9" s="9">
        <v>189</v>
      </c>
      <c r="M9" s="10">
        <v>53</v>
      </c>
      <c r="N9" s="9">
        <v>91.45</v>
      </c>
      <c r="O9" s="10" t="str">
        <f t="shared" si="0"/>
        <v>02FX9CM04T</v>
      </c>
      <c r="P9" s="10" t="s">
        <v>40</v>
      </c>
      <c r="Q9" s="10" t="s">
        <v>63</v>
      </c>
      <c r="R9" s="12">
        <v>4045011083433</v>
      </c>
      <c r="S9" s="10" t="s">
        <v>64</v>
      </c>
      <c r="T9" s="10" t="str">
        <f t="shared" si="1"/>
        <v>Extreme Tactical Kukri,Accueil,Messer plus,feste Klinge,Böker,FKMD</v>
      </c>
      <c r="U9" s="10" t="str">
        <f t="shared" si="2"/>
        <v>Extreme Tactical Kukri</v>
      </c>
      <c r="V9" s="10" t="str">
        <f t="shared" ref="V9:V19" si="7">$I9 &amp; "," &amp; $J9 &amp;"," &amp; $P9</f>
        <v>Extreme Tactical Kukri,Accueil,Messer plus,feste Klinge,Böker</v>
      </c>
      <c r="W9" s="10">
        <v>1</v>
      </c>
      <c r="X9" s="10">
        <v>1</v>
      </c>
      <c r="Y9" s="10" t="str">
        <f t="shared" si="3"/>
        <v>http://usfh.ch/img/Messer/02FX9CM04T.jpg</v>
      </c>
      <c r="Z9" s="10" t="str">
        <f t="shared" si="4"/>
        <v>02FX9CM04T</v>
      </c>
      <c r="AA9" s="13">
        <f t="shared" si="5"/>
        <v>189</v>
      </c>
      <c r="AB9" s="13">
        <f t="shared" si="6"/>
        <v>91.45</v>
      </c>
      <c r="AC9" s="10">
        <v>0.5</v>
      </c>
    </row>
    <row r="10" spans="1:29" s="14" customFormat="1" ht="15" customHeight="1" x14ac:dyDescent="0.25">
      <c r="A10" s="10">
        <v>9</v>
      </c>
      <c r="B10" s="10"/>
      <c r="C10" s="10"/>
      <c r="D10" s="10"/>
      <c r="E10" s="10"/>
      <c r="F10" s="10">
        <v>1</v>
      </c>
      <c r="G10" s="11" t="s">
        <v>65</v>
      </c>
      <c r="H10" s="10">
        <v>1</v>
      </c>
      <c r="I10" s="10" t="s">
        <v>66</v>
      </c>
      <c r="J10" s="10" t="s">
        <v>27</v>
      </c>
      <c r="K10" s="10"/>
      <c r="L10" s="9">
        <v>145</v>
      </c>
      <c r="M10" s="10">
        <v>53</v>
      </c>
      <c r="N10" s="9">
        <v>60</v>
      </c>
      <c r="O10" s="10" t="str">
        <f t="shared" si="0"/>
        <v>CST-26SXP</v>
      </c>
      <c r="P10" s="10" t="s">
        <v>67</v>
      </c>
      <c r="Q10" s="10" t="s">
        <v>67</v>
      </c>
      <c r="R10" s="12"/>
      <c r="S10" s="10" t="s">
        <v>68</v>
      </c>
      <c r="T10" s="10" t="str">
        <f t="shared" si="1"/>
        <v>Taschenmesser Ti-Lite, 6-Zoll-Klinge, Edelstahl, Zy-Ex-Griff,Accueil,Messer plus,Klappmesser,Coldsteel,Coldsteel</v>
      </c>
      <c r="U10" s="10" t="str">
        <f t="shared" si="2"/>
        <v>Taschenmesser Ti-Lite, 6-Zoll-Klinge, Edelstahl, Zy-Ex-Griff</v>
      </c>
      <c r="V10" s="10" t="str">
        <f t="shared" si="7"/>
        <v>Taschenmesser Ti-Lite, 6-Zoll-Klinge, Edelstahl, Zy-Ex-Griff,Accueil,Messer plus,Klappmesser,Coldsteel</v>
      </c>
      <c r="W10" s="10">
        <v>1</v>
      </c>
      <c r="X10" s="10">
        <v>1</v>
      </c>
      <c r="Y10" s="10" t="str">
        <f t="shared" si="3"/>
        <v>http://usfh.ch/img/Messer/CST-26SXP.jpg</v>
      </c>
      <c r="Z10" s="10" t="str">
        <f t="shared" si="4"/>
        <v>CST-26SXP</v>
      </c>
      <c r="AA10" s="13">
        <f t="shared" si="5"/>
        <v>145</v>
      </c>
      <c r="AB10" s="13">
        <f t="shared" si="6"/>
        <v>60</v>
      </c>
      <c r="AC10" s="10">
        <v>0.5</v>
      </c>
    </row>
    <row r="11" spans="1:29" s="14" customFormat="1" ht="15" customHeight="1" x14ac:dyDescent="0.25">
      <c r="A11" s="10">
        <v>10</v>
      </c>
      <c r="B11" s="10"/>
      <c r="C11" s="10"/>
      <c r="D11" s="10"/>
      <c r="E11" s="10"/>
      <c r="F11" s="10">
        <v>1</v>
      </c>
      <c r="G11" s="11" t="s">
        <v>772</v>
      </c>
      <c r="H11" s="10">
        <v>1</v>
      </c>
      <c r="I11" s="10" t="s">
        <v>69</v>
      </c>
      <c r="J11" s="10" t="s">
        <v>27</v>
      </c>
      <c r="K11" s="10"/>
      <c r="L11" s="9">
        <v>299</v>
      </c>
      <c r="M11" s="10">
        <v>53</v>
      </c>
      <c r="N11" s="9">
        <v>140</v>
      </c>
      <c r="O11" s="10" t="str">
        <f t="shared" si="0"/>
        <v>CST-26C4</v>
      </c>
      <c r="P11" s="10" t="s">
        <v>67</v>
      </c>
      <c r="Q11" s="10" t="s">
        <v>67</v>
      </c>
      <c r="R11" s="12"/>
      <c r="S11" s="10" t="s">
        <v>70</v>
      </c>
      <c r="T11" s="10" t="str">
        <f t="shared" si="1"/>
        <v>Taschenmesser Ti-Lite 4-Zoll-Klinge, CTS XHP, G-10 Griff,Accueil,Messer plus,Klappmesser,Coldsteel,Coldsteel</v>
      </c>
      <c r="U11" s="10" t="str">
        <f t="shared" si="2"/>
        <v>Taschenmesser Ti-Lite 4-Zoll-Klinge, CTS XHP, G-10 Griff</v>
      </c>
      <c r="V11" s="10" t="str">
        <f t="shared" si="7"/>
        <v>Taschenmesser Ti-Lite 4-Zoll-Klinge, CTS XHP, G-10 Griff,Accueil,Messer plus,Klappmesser,Coldsteel</v>
      </c>
      <c r="W11" s="10">
        <v>1</v>
      </c>
      <c r="X11" s="10">
        <v>1</v>
      </c>
      <c r="Y11" s="10" t="str">
        <f t="shared" si="3"/>
        <v>http://usfh.ch/img/Messer/CST-26C4.jpg</v>
      </c>
      <c r="Z11" s="10" t="str">
        <f t="shared" si="4"/>
        <v>CST-26C4</v>
      </c>
      <c r="AA11" s="13">
        <f t="shared" si="5"/>
        <v>299</v>
      </c>
      <c r="AB11" s="13">
        <f t="shared" si="6"/>
        <v>140</v>
      </c>
      <c r="AC11" s="10">
        <v>0.5</v>
      </c>
    </row>
    <row r="12" spans="1:29" s="14" customFormat="1" ht="15" customHeight="1" x14ac:dyDescent="0.25">
      <c r="A12" s="10">
        <v>11</v>
      </c>
      <c r="B12" s="10"/>
      <c r="C12" s="10"/>
      <c r="D12" s="10"/>
      <c r="E12" s="10"/>
      <c r="F12" s="10">
        <v>1</v>
      </c>
      <c r="G12" s="11" t="s">
        <v>771</v>
      </c>
      <c r="H12" s="10">
        <v>1</v>
      </c>
      <c r="I12" s="10" t="s">
        <v>71</v>
      </c>
      <c r="J12" s="10" t="s">
        <v>27</v>
      </c>
      <c r="K12" s="10"/>
      <c r="L12" s="9">
        <v>399</v>
      </c>
      <c r="M12" s="10">
        <v>53</v>
      </c>
      <c r="N12" s="9">
        <v>237.5</v>
      </c>
      <c r="O12" s="10" t="str">
        <f t="shared" si="0"/>
        <v>CST-26C6</v>
      </c>
      <c r="P12" s="10" t="s">
        <v>67</v>
      </c>
      <c r="Q12" s="10" t="s">
        <v>67</v>
      </c>
      <c r="R12" s="12"/>
      <c r="S12" s="10" t="s">
        <v>72</v>
      </c>
      <c r="T12" s="10" t="str">
        <f t="shared" si="1"/>
        <v>Taschenmesser Ti-Lite 6-Zoll-Klinge, CTS XHP, G-10 Griff,Accueil,Messer plus,Klappmesser,Coldsteel,Coldsteel</v>
      </c>
      <c r="U12" s="10" t="str">
        <f t="shared" si="2"/>
        <v>Taschenmesser Ti-Lite 6-Zoll-Klinge, CTS XHP, G-10 Griff</v>
      </c>
      <c r="V12" s="10" t="str">
        <f t="shared" si="7"/>
        <v>Taschenmesser Ti-Lite 6-Zoll-Klinge, CTS XHP, G-10 Griff,Accueil,Messer plus,Klappmesser,Coldsteel</v>
      </c>
      <c r="W12" s="10">
        <v>1</v>
      </c>
      <c r="X12" s="10">
        <v>1</v>
      </c>
      <c r="Y12" s="10" t="str">
        <f t="shared" si="3"/>
        <v>http://usfh.ch/img/Messer/CST-26C6.jpg</v>
      </c>
      <c r="Z12" s="10" t="str">
        <f t="shared" si="4"/>
        <v>CST-26C6</v>
      </c>
      <c r="AA12" s="13">
        <f t="shared" si="5"/>
        <v>399</v>
      </c>
      <c r="AB12" s="13">
        <f t="shared" si="6"/>
        <v>237.5</v>
      </c>
      <c r="AC12" s="10">
        <v>0.5</v>
      </c>
    </row>
    <row r="13" spans="1:29" s="14" customFormat="1" ht="15" customHeight="1" x14ac:dyDescent="0.25">
      <c r="A13" s="10">
        <v>12</v>
      </c>
      <c r="B13" s="10"/>
      <c r="C13" s="10"/>
      <c r="D13" s="10"/>
      <c r="E13" s="10"/>
      <c r="F13" s="10">
        <v>1</v>
      </c>
      <c r="G13" s="11" t="s">
        <v>73</v>
      </c>
      <c r="H13" s="10">
        <v>1</v>
      </c>
      <c r="I13" s="10" t="s">
        <v>74</v>
      </c>
      <c r="J13" s="10" t="s">
        <v>27</v>
      </c>
      <c r="K13" s="10"/>
      <c r="L13" s="9">
        <v>79</v>
      </c>
      <c r="M13" s="10">
        <v>53</v>
      </c>
      <c r="N13" s="9">
        <v>27.2</v>
      </c>
      <c r="O13" s="10" t="str">
        <f t="shared" si="0"/>
        <v>01MB946DAM</v>
      </c>
      <c r="P13" s="10" t="s">
        <v>40</v>
      </c>
      <c r="Q13" s="10" t="s">
        <v>41</v>
      </c>
      <c r="R13" s="12">
        <v>4045011056291</v>
      </c>
      <c r="S13" s="10" t="s">
        <v>75</v>
      </c>
      <c r="T13" s="10" t="str">
        <f t="shared" si="1"/>
        <v>Damascus Duke,Accueil,Messer plus,Klappmesser,Böker,Magnum</v>
      </c>
      <c r="U13" s="10" t="str">
        <f t="shared" si="2"/>
        <v>Damascus Duke</v>
      </c>
      <c r="V13" s="10" t="str">
        <f t="shared" si="7"/>
        <v>Damascus Duke,Accueil,Messer plus,Klappmesser,Böker</v>
      </c>
      <c r="W13" s="10">
        <v>1</v>
      </c>
      <c r="X13" s="10">
        <v>1</v>
      </c>
      <c r="Y13" s="10" t="str">
        <f t="shared" si="3"/>
        <v>http://usfh.ch/img/Messer/01MB946DAM.jpg</v>
      </c>
      <c r="Z13" s="10" t="str">
        <f t="shared" si="4"/>
        <v>01MB946DAM</v>
      </c>
      <c r="AA13" s="13">
        <f t="shared" si="5"/>
        <v>79</v>
      </c>
      <c r="AB13" s="13">
        <f t="shared" si="6"/>
        <v>27.2</v>
      </c>
      <c r="AC13" s="10">
        <v>0.5</v>
      </c>
    </row>
    <row r="14" spans="1:29" s="14" customFormat="1" ht="15" customHeight="1" x14ac:dyDescent="0.25">
      <c r="A14" s="10">
        <v>13</v>
      </c>
      <c r="B14" s="10"/>
      <c r="C14" s="10"/>
      <c r="D14" s="10"/>
      <c r="E14" s="10"/>
      <c r="F14" s="10">
        <v>1</v>
      </c>
      <c r="G14" s="11">
        <v>336411</v>
      </c>
      <c r="H14" s="10">
        <v>1</v>
      </c>
      <c r="I14" s="10" t="s">
        <v>77</v>
      </c>
      <c r="J14" s="10" t="s">
        <v>27</v>
      </c>
      <c r="K14" s="10"/>
      <c r="L14" s="9">
        <v>35</v>
      </c>
      <c r="M14" s="10">
        <v>53</v>
      </c>
      <c r="N14" s="9">
        <v>11.8</v>
      </c>
      <c r="O14" s="10">
        <f t="shared" si="0"/>
        <v>336411</v>
      </c>
      <c r="P14" s="10" t="s">
        <v>76</v>
      </c>
      <c r="Q14" s="10" t="s">
        <v>76</v>
      </c>
      <c r="R14" s="12"/>
      <c r="S14" s="10" t="s">
        <v>78</v>
      </c>
      <c r="T14" s="10" t="str">
        <f t="shared" si="1"/>
        <v>Linder Black Line 1,Accueil,Messer plus,Klappmesser,Linder,Linder</v>
      </c>
      <c r="U14" s="10" t="str">
        <f t="shared" si="2"/>
        <v>Linder Black Line 1</v>
      </c>
      <c r="V14" s="10" t="str">
        <f t="shared" si="7"/>
        <v>Linder Black Line 1,Accueil,Messer plus,Klappmesser,Linder</v>
      </c>
      <c r="W14" s="10">
        <v>1</v>
      </c>
      <c r="X14" s="10">
        <v>1</v>
      </c>
      <c r="Y14" s="10" t="str">
        <f t="shared" si="3"/>
        <v>http://usfh.ch/img/Messer/336411.jpg</v>
      </c>
      <c r="Z14" s="10">
        <f t="shared" si="4"/>
        <v>336411</v>
      </c>
      <c r="AA14" s="13">
        <f t="shared" si="5"/>
        <v>35</v>
      </c>
      <c r="AB14" s="13">
        <f t="shared" si="6"/>
        <v>11.8</v>
      </c>
      <c r="AC14" s="10">
        <v>0.5</v>
      </c>
    </row>
    <row r="15" spans="1:29" s="14" customFormat="1" ht="15" customHeight="1" x14ac:dyDescent="0.25">
      <c r="A15" s="10">
        <v>14</v>
      </c>
      <c r="B15" s="10"/>
      <c r="C15" s="10"/>
      <c r="D15" s="10"/>
      <c r="E15" s="10"/>
      <c r="F15" s="10">
        <v>1</v>
      </c>
      <c r="G15" s="11">
        <v>336611</v>
      </c>
      <c r="H15" s="10">
        <v>1</v>
      </c>
      <c r="I15" s="10" t="s">
        <v>79</v>
      </c>
      <c r="J15" s="10" t="s">
        <v>27</v>
      </c>
      <c r="K15" s="10"/>
      <c r="L15" s="9">
        <v>35</v>
      </c>
      <c r="M15" s="10">
        <v>53</v>
      </c>
      <c r="N15" s="9">
        <v>11.8</v>
      </c>
      <c r="O15" s="10">
        <f t="shared" si="0"/>
        <v>336611</v>
      </c>
      <c r="P15" s="10" t="s">
        <v>76</v>
      </c>
      <c r="Q15" s="10" t="s">
        <v>76</v>
      </c>
      <c r="R15" s="12"/>
      <c r="S15" s="10" t="s">
        <v>80</v>
      </c>
      <c r="T15" s="10" t="str">
        <f t="shared" si="1"/>
        <v>Linder Black Line 3,Accueil,Messer plus,Klappmesser,Linder,Linder</v>
      </c>
      <c r="U15" s="10" t="str">
        <f t="shared" si="2"/>
        <v>Linder Black Line 3</v>
      </c>
      <c r="V15" s="10" t="str">
        <f t="shared" si="7"/>
        <v>Linder Black Line 3,Accueil,Messer plus,Klappmesser,Linder</v>
      </c>
      <c r="W15" s="10">
        <v>1</v>
      </c>
      <c r="X15" s="10">
        <v>1</v>
      </c>
      <c r="Y15" s="10" t="str">
        <f t="shared" si="3"/>
        <v>http://usfh.ch/img/Messer/336611.jpg</v>
      </c>
      <c r="Z15" s="10">
        <f t="shared" si="4"/>
        <v>336611</v>
      </c>
      <c r="AA15" s="13">
        <f t="shared" si="5"/>
        <v>35</v>
      </c>
      <c r="AB15" s="13">
        <f t="shared" si="6"/>
        <v>11.8</v>
      </c>
      <c r="AC15" s="10">
        <v>0.5</v>
      </c>
    </row>
    <row r="16" spans="1:29" s="14" customFormat="1" ht="15" customHeight="1" x14ac:dyDescent="0.25">
      <c r="A16" s="10">
        <v>15</v>
      </c>
      <c r="B16" s="10"/>
      <c r="C16" s="10"/>
      <c r="D16" s="10"/>
      <c r="E16" s="10"/>
      <c r="F16" s="10">
        <v>2</v>
      </c>
      <c r="G16" s="11" t="s">
        <v>81</v>
      </c>
      <c r="H16" s="10">
        <v>1</v>
      </c>
      <c r="I16" s="10" t="s">
        <v>82</v>
      </c>
      <c r="J16" s="10" t="s">
        <v>27</v>
      </c>
      <c r="K16" s="10"/>
      <c r="L16" s="9">
        <v>219</v>
      </c>
      <c r="M16" s="10">
        <v>53</v>
      </c>
      <c r="N16" s="9">
        <v>126.5</v>
      </c>
      <c r="O16" s="10" t="str">
        <f t="shared" si="0"/>
        <v>CST-26B4</v>
      </c>
      <c r="P16" s="10" t="s">
        <v>67</v>
      </c>
      <c r="Q16" s="10" t="s">
        <v>67</v>
      </c>
      <c r="R16" s="12"/>
      <c r="S16" s="10" t="s">
        <v>83</v>
      </c>
      <c r="T16" s="10" t="str">
        <f t="shared" si="1"/>
        <v>Taschenmesser Ti-Lite, 4-Zoll-Klinge, CTS XHP, Alu-Griff,Accueil,Messer plus,Klappmesser,Coldsteel,Coldsteel</v>
      </c>
      <c r="U16" s="10" t="str">
        <f t="shared" si="2"/>
        <v>Taschenmesser Ti-Lite, 4-Zoll-Klinge, CTS XHP, Alu-Griff</v>
      </c>
      <c r="V16" s="10" t="str">
        <f t="shared" si="7"/>
        <v>Taschenmesser Ti-Lite, 4-Zoll-Klinge, CTS XHP, Alu-Griff,Accueil,Messer plus,Klappmesser,Coldsteel</v>
      </c>
      <c r="W16" s="10">
        <v>1</v>
      </c>
      <c r="X16" s="10">
        <v>1</v>
      </c>
      <c r="Y16" s="10" t="str">
        <f t="shared" si="3"/>
        <v>http://usfh.ch/img/Messer/CST-26B4.jpg</v>
      </c>
      <c r="Z16" s="10" t="str">
        <f t="shared" si="4"/>
        <v>CST-26B4</v>
      </c>
      <c r="AA16" s="13">
        <f t="shared" si="5"/>
        <v>438</v>
      </c>
      <c r="AB16" s="13">
        <f t="shared" si="6"/>
        <v>253</v>
      </c>
      <c r="AC16" s="10">
        <v>0.5</v>
      </c>
    </row>
    <row r="17" spans="1:29" s="14" customFormat="1" ht="15" customHeight="1" x14ac:dyDescent="0.25">
      <c r="A17" s="10">
        <v>16</v>
      </c>
      <c r="B17" s="10"/>
      <c r="C17" s="10"/>
      <c r="D17" s="10"/>
      <c r="E17" s="10"/>
      <c r="F17" s="10">
        <v>1</v>
      </c>
      <c r="G17" s="11" t="s">
        <v>84</v>
      </c>
      <c r="H17" s="10">
        <v>1</v>
      </c>
      <c r="I17" s="10" t="s">
        <v>85</v>
      </c>
      <c r="J17" s="10" t="s">
        <v>27</v>
      </c>
      <c r="K17" s="10"/>
      <c r="L17" s="9">
        <v>165</v>
      </c>
      <c r="M17" s="10">
        <v>53</v>
      </c>
      <c r="N17" s="9">
        <v>71.900000000000006</v>
      </c>
      <c r="O17" s="10" t="str">
        <f t="shared" si="0"/>
        <v>01AN002</v>
      </c>
      <c r="P17" s="10" t="s">
        <v>40</v>
      </c>
      <c r="Q17" s="10" t="s">
        <v>86</v>
      </c>
      <c r="R17" s="12">
        <v>4045011126765</v>
      </c>
      <c r="S17" s="10" t="s">
        <v>87</v>
      </c>
      <c r="T17" s="10" t="str">
        <f t="shared" si="1"/>
        <v>Ara_Tact N/S,Accueil,Messer plus,Klappmesser,Böker,Antonini</v>
      </c>
      <c r="U17" s="10" t="str">
        <f t="shared" si="2"/>
        <v>Ara_Tact N/S</v>
      </c>
      <c r="V17" s="10" t="str">
        <f t="shared" si="7"/>
        <v>Ara_Tact N/S,Accueil,Messer plus,Klappmesser,Böker</v>
      </c>
      <c r="W17" s="10">
        <v>1</v>
      </c>
      <c r="X17" s="10">
        <v>1</v>
      </c>
      <c r="Y17" s="10" t="str">
        <f t="shared" si="3"/>
        <v>http://usfh.ch/img/Messer/01AN002.jpg</v>
      </c>
      <c r="Z17" s="10" t="str">
        <f t="shared" si="4"/>
        <v>01AN002</v>
      </c>
      <c r="AA17" s="13">
        <f t="shared" si="5"/>
        <v>165</v>
      </c>
      <c r="AB17" s="13">
        <f t="shared" si="6"/>
        <v>71.900000000000006</v>
      </c>
      <c r="AC17" s="10">
        <v>0.5</v>
      </c>
    </row>
    <row r="18" spans="1:29" s="14" customFormat="1" ht="15" customHeight="1" x14ac:dyDescent="0.25">
      <c r="A18" s="10">
        <v>17</v>
      </c>
      <c r="B18" s="10"/>
      <c r="C18" s="10"/>
      <c r="D18" s="10"/>
      <c r="E18" s="10"/>
      <c r="F18" s="10">
        <v>2</v>
      </c>
      <c r="G18" s="11" t="s">
        <v>703</v>
      </c>
      <c r="H18" s="10">
        <v>1</v>
      </c>
      <c r="I18" s="15" t="s">
        <v>88</v>
      </c>
      <c r="J18" s="10" t="s">
        <v>27</v>
      </c>
      <c r="K18" s="10"/>
      <c r="L18" s="9">
        <v>270</v>
      </c>
      <c r="M18" s="10">
        <v>53</v>
      </c>
      <c r="N18" s="9">
        <v>176</v>
      </c>
      <c r="O18" s="10" t="str">
        <f t="shared" si="0"/>
        <v>CST-26B6</v>
      </c>
      <c r="P18" s="10" t="s">
        <v>67</v>
      </c>
      <c r="Q18" s="10" t="s">
        <v>67</v>
      </c>
      <c r="R18" s="12"/>
      <c r="S18" s="10" t="s">
        <v>89</v>
      </c>
      <c r="T18" s="10" t="str">
        <f t="shared" si="1"/>
        <v>Taschenmesser Ti-Lite mit 6-Zoll-Klinge aus Carpenter CTS® XHP Stahl und Griff aus Aluminium,Accueil,Messer plus,Klappmesser,Coldsteel,Coldsteel</v>
      </c>
      <c r="U18" s="10" t="str">
        <f t="shared" si="2"/>
        <v>Taschenmesser Ti-Lite mit 6-Zoll-Klinge aus Carpenter CTS® XHP Stahl und Griff aus Aluminium</v>
      </c>
      <c r="V18" s="10" t="str">
        <f t="shared" si="7"/>
        <v>Taschenmesser Ti-Lite mit 6-Zoll-Klinge aus Carpenter CTS® XHP Stahl und Griff aus Aluminium,Accueil,Messer plus,Klappmesser,Coldsteel</v>
      </c>
      <c r="W18" s="10">
        <v>1</v>
      </c>
      <c r="X18" s="10">
        <v>1</v>
      </c>
      <c r="Y18" s="10" t="str">
        <f t="shared" si="3"/>
        <v>http://usfh.ch/img/Messer/CST-26B6.jpg</v>
      </c>
      <c r="Z18" s="10" t="str">
        <f t="shared" si="4"/>
        <v>CST-26B6</v>
      </c>
      <c r="AA18" s="13">
        <f t="shared" si="5"/>
        <v>540</v>
      </c>
      <c r="AB18" s="13">
        <f t="shared" si="6"/>
        <v>352</v>
      </c>
      <c r="AC18" s="10">
        <v>0.5</v>
      </c>
    </row>
    <row r="19" spans="1:29" s="14" customFormat="1" ht="15" customHeight="1" x14ac:dyDescent="0.25">
      <c r="A19" s="10">
        <v>18</v>
      </c>
      <c r="B19" s="10"/>
      <c r="C19" s="10"/>
      <c r="D19" s="10"/>
      <c r="E19" s="10"/>
      <c r="F19" s="10">
        <v>1</v>
      </c>
      <c r="G19" s="11">
        <v>326612</v>
      </c>
      <c r="H19" s="10">
        <v>1</v>
      </c>
      <c r="I19" s="10" t="s">
        <v>90</v>
      </c>
      <c r="J19" s="10" t="s">
        <v>27</v>
      </c>
      <c r="K19" s="10"/>
      <c r="L19" s="9">
        <v>59</v>
      </c>
      <c r="M19" s="10">
        <v>53</v>
      </c>
      <c r="N19" s="9">
        <v>20</v>
      </c>
      <c r="O19" s="10">
        <f t="shared" si="0"/>
        <v>326612</v>
      </c>
      <c r="P19" s="10" t="s">
        <v>76</v>
      </c>
      <c r="Q19" s="10" t="s">
        <v>76</v>
      </c>
      <c r="R19" s="12"/>
      <c r="S19" s="10" t="s">
        <v>91</v>
      </c>
      <c r="T19" s="10" t="str">
        <f t="shared" si="1"/>
        <v>Zeitloses Schließmesser,Accueil,Messer plus,Klappmesser,Linder,Linder</v>
      </c>
      <c r="U19" s="10" t="str">
        <f t="shared" si="2"/>
        <v>Zeitloses Schließmesser</v>
      </c>
      <c r="V19" s="10" t="str">
        <f t="shared" si="7"/>
        <v>Zeitloses Schließmesser,Accueil,Messer plus,Klappmesser,Linder</v>
      </c>
      <c r="W19" s="10">
        <v>1</v>
      </c>
      <c r="X19" s="10">
        <v>1</v>
      </c>
      <c r="Y19" s="10" t="str">
        <f t="shared" si="3"/>
        <v>http://usfh.ch/img/Messer/326612.jpg</v>
      </c>
      <c r="Z19" s="10">
        <f t="shared" si="4"/>
        <v>326612</v>
      </c>
      <c r="AA19" s="13">
        <f t="shared" si="5"/>
        <v>59</v>
      </c>
      <c r="AB19" s="13">
        <f t="shared" si="6"/>
        <v>20</v>
      </c>
      <c r="AC19" s="10">
        <v>0.5</v>
      </c>
    </row>
    <row r="20" spans="1:29" s="14" customFormat="1" ht="15" customHeight="1" x14ac:dyDescent="0.25">
      <c r="A20" s="10">
        <v>19</v>
      </c>
      <c r="B20" s="10">
        <v>1</v>
      </c>
      <c r="C20" s="10"/>
      <c r="D20" s="10"/>
      <c r="E20" s="10"/>
      <c r="F20" s="10">
        <v>1</v>
      </c>
      <c r="G20" s="11">
        <v>18766</v>
      </c>
      <c r="H20" s="10">
        <v>1</v>
      </c>
      <c r="I20" s="10" t="s">
        <v>92</v>
      </c>
      <c r="J20" s="10" t="s">
        <v>27</v>
      </c>
      <c r="K20" s="10"/>
      <c r="L20" s="9">
        <v>39</v>
      </c>
      <c r="M20" s="10">
        <v>53</v>
      </c>
      <c r="N20" s="9">
        <v>7.5</v>
      </c>
      <c r="O20" s="10">
        <f t="shared" si="0"/>
        <v>18766</v>
      </c>
      <c r="P20" s="10" t="s">
        <v>31</v>
      </c>
      <c r="Q20" s="10" t="s">
        <v>32</v>
      </c>
      <c r="R20" s="12"/>
      <c r="S20" s="16" t="s">
        <v>93</v>
      </c>
      <c r="T20" s="10" t="str">
        <f t="shared" si="1"/>
        <v>Walther Micro PPQ Folder,Accueil,Messer plus,Klappmesser,Airsoft,Walther</v>
      </c>
      <c r="U20" s="10" t="str">
        <f t="shared" si="2"/>
        <v>Walther Micro PPQ Folder</v>
      </c>
      <c r="V20" s="10" t="str">
        <f t="shared" ref="V20:V37" si="8">T20</f>
        <v>Walther Micro PPQ Folder,Accueil,Messer plus,Klappmesser,Airsoft,Walther</v>
      </c>
      <c r="W20" s="10">
        <v>1</v>
      </c>
      <c r="X20" s="10">
        <v>1</v>
      </c>
      <c r="Y20" s="10" t="str">
        <f t="shared" si="3"/>
        <v>http://usfh.ch/img/Messer/18766.jpg</v>
      </c>
      <c r="Z20" s="10">
        <f t="shared" si="4"/>
        <v>18766</v>
      </c>
      <c r="AA20" s="13">
        <f t="shared" si="5"/>
        <v>39</v>
      </c>
      <c r="AB20" s="13">
        <f t="shared" si="6"/>
        <v>7.5</v>
      </c>
      <c r="AC20" s="10">
        <v>0.5</v>
      </c>
    </row>
    <row r="21" spans="1:29" s="14" customFormat="1" ht="15" customHeight="1" x14ac:dyDescent="0.25">
      <c r="A21" s="10">
        <v>20</v>
      </c>
      <c r="B21" s="10"/>
      <c r="C21" s="10"/>
      <c r="D21" s="10"/>
      <c r="E21" s="10"/>
      <c r="F21" s="10">
        <v>2</v>
      </c>
      <c r="G21" s="11" t="s">
        <v>94</v>
      </c>
      <c r="H21" s="10">
        <v>1</v>
      </c>
      <c r="I21" s="10" t="s">
        <v>95</v>
      </c>
      <c r="J21" s="10" t="s">
        <v>30</v>
      </c>
      <c r="K21" s="10"/>
      <c r="L21" s="9">
        <v>89</v>
      </c>
      <c r="M21" s="10">
        <v>53</v>
      </c>
      <c r="N21" s="9">
        <v>37.479999999999997</v>
      </c>
      <c r="O21" s="10" t="str">
        <f t="shared" si="0"/>
        <v>02MU073</v>
      </c>
      <c r="P21" s="10" t="s">
        <v>40</v>
      </c>
      <c r="Q21" s="10" t="s">
        <v>96</v>
      </c>
      <c r="R21" s="12">
        <v>4045011114946</v>
      </c>
      <c r="S21" s="16" t="s">
        <v>97</v>
      </c>
      <c r="T21" s="10" t="str">
        <f t="shared" si="1"/>
        <v>Fahrtenmesser Muela Scorpion,Accueil,Messer plus,feste Klinge,Böker,Muela</v>
      </c>
      <c r="U21" s="10" t="str">
        <f t="shared" si="2"/>
        <v>Fahrtenmesser Muela Scorpion</v>
      </c>
      <c r="V21" s="10" t="str">
        <f t="shared" si="8"/>
        <v>Fahrtenmesser Muela Scorpion,Accueil,Messer plus,feste Klinge,Böker,Muela</v>
      </c>
      <c r="W21" s="10">
        <v>1</v>
      </c>
      <c r="X21" s="10">
        <v>1</v>
      </c>
      <c r="Y21" s="10" t="str">
        <f t="shared" si="3"/>
        <v>http://usfh.ch/img/Messer/02MU073.jpg</v>
      </c>
      <c r="Z21" s="10" t="str">
        <f t="shared" si="4"/>
        <v>02MU073</v>
      </c>
      <c r="AA21" s="13">
        <f t="shared" si="5"/>
        <v>178</v>
      </c>
      <c r="AB21" s="13">
        <f t="shared" si="6"/>
        <v>74.959999999999994</v>
      </c>
      <c r="AC21" s="10">
        <v>0.5</v>
      </c>
    </row>
    <row r="22" spans="1:29" s="14" customFormat="1" ht="15" customHeight="1" x14ac:dyDescent="0.25">
      <c r="A22" s="10">
        <v>21</v>
      </c>
      <c r="B22" s="10"/>
      <c r="C22" s="10"/>
      <c r="D22" s="10"/>
      <c r="E22" s="10"/>
      <c r="F22" s="10">
        <v>0</v>
      </c>
      <c r="G22" s="11" t="s">
        <v>98</v>
      </c>
      <c r="H22" s="10">
        <v>1</v>
      </c>
      <c r="I22" s="10" t="s">
        <v>99</v>
      </c>
      <c r="J22" s="10" t="s">
        <v>30</v>
      </c>
      <c r="K22" s="10"/>
      <c r="L22" s="9">
        <v>522</v>
      </c>
      <c r="M22" s="10">
        <v>53</v>
      </c>
      <c r="N22" s="9">
        <v>261</v>
      </c>
      <c r="O22" s="10" t="str">
        <f t="shared" si="0"/>
        <v>02RD011</v>
      </c>
      <c r="P22" s="10" t="s">
        <v>40</v>
      </c>
      <c r="Q22" s="10" t="s">
        <v>100</v>
      </c>
      <c r="R22" s="12">
        <v>4045011073410</v>
      </c>
      <c r="S22" s="16" t="s">
        <v>101</v>
      </c>
      <c r="T22" s="10" t="str">
        <f t="shared" si="1"/>
        <v>Steakmesser-set Wacholderholz - Sechs Messer,Accueil,Messer plus,feste Klinge,Böker,Laguiole</v>
      </c>
      <c r="U22" s="10" t="str">
        <f t="shared" si="2"/>
        <v>Steakmesser-set Wacholderholz - Sechs Messer</v>
      </c>
      <c r="V22" s="10" t="str">
        <f t="shared" si="8"/>
        <v>Steakmesser-set Wacholderholz - Sechs Messer,Accueil,Messer plus,feste Klinge,Böker,Laguiole</v>
      </c>
      <c r="W22" s="10">
        <v>1</v>
      </c>
      <c r="X22" s="10">
        <v>1</v>
      </c>
      <c r="Y22" s="10" t="str">
        <f t="shared" si="3"/>
        <v>http://usfh.ch/img/Messer/02RD011.jpg</v>
      </c>
      <c r="Z22" s="10" t="str">
        <f t="shared" si="4"/>
        <v>02RD011</v>
      </c>
      <c r="AA22" s="13">
        <f t="shared" si="5"/>
        <v>0</v>
      </c>
      <c r="AB22" s="13">
        <f t="shared" si="6"/>
        <v>0</v>
      </c>
      <c r="AC22" s="10">
        <v>0.5</v>
      </c>
    </row>
    <row r="23" spans="1:29" s="14" customFormat="1" ht="15" customHeight="1" x14ac:dyDescent="0.25">
      <c r="A23" s="10">
        <v>22</v>
      </c>
      <c r="B23" s="10"/>
      <c r="C23" s="10"/>
      <c r="D23" s="10"/>
      <c r="E23" s="10"/>
      <c r="F23" s="10">
        <v>0</v>
      </c>
      <c r="G23" s="11" t="s">
        <v>102</v>
      </c>
      <c r="H23" s="10">
        <v>1</v>
      </c>
      <c r="I23" s="10" t="s">
        <v>103</v>
      </c>
      <c r="J23" s="10" t="s">
        <v>30</v>
      </c>
      <c r="K23" s="10"/>
      <c r="L23" s="9">
        <v>522</v>
      </c>
      <c r="M23" s="10">
        <v>53</v>
      </c>
      <c r="N23" s="9">
        <v>261</v>
      </c>
      <c r="O23" s="10" t="str">
        <f t="shared" si="0"/>
        <v>09RD001</v>
      </c>
      <c r="P23" s="10" t="s">
        <v>40</v>
      </c>
      <c r="Q23" s="10" t="s">
        <v>100</v>
      </c>
      <c r="R23" s="12">
        <v>4045011084980</v>
      </c>
      <c r="S23" s="16" t="s">
        <v>104</v>
      </c>
      <c r="T23" s="10" t="str">
        <f t="shared" si="1"/>
        <v>Steakgabel-Set Wacholderholz mit sechs Gabeln,Accueil,Messer plus,feste Klinge,Böker,Laguiole</v>
      </c>
      <c r="U23" s="10" t="str">
        <f t="shared" si="2"/>
        <v>Steakgabel-Set Wacholderholz mit sechs Gabeln</v>
      </c>
      <c r="V23" s="10" t="str">
        <f t="shared" si="8"/>
        <v>Steakgabel-Set Wacholderholz mit sechs Gabeln,Accueil,Messer plus,feste Klinge,Böker,Laguiole</v>
      </c>
      <c r="W23" s="10">
        <v>1</v>
      </c>
      <c r="X23" s="10">
        <v>1</v>
      </c>
      <c r="Y23" s="10" t="str">
        <f t="shared" si="3"/>
        <v>http://usfh.ch/img/Messer/09RD001.jpg</v>
      </c>
      <c r="Z23" s="10" t="str">
        <f t="shared" si="4"/>
        <v>09RD001</v>
      </c>
      <c r="AA23" s="13">
        <f t="shared" si="5"/>
        <v>0</v>
      </c>
      <c r="AB23" s="13">
        <f t="shared" si="6"/>
        <v>0</v>
      </c>
      <c r="AC23" s="10">
        <v>0.5</v>
      </c>
    </row>
    <row r="24" spans="1:29" s="14" customFormat="1" ht="15" customHeight="1" x14ac:dyDescent="0.25">
      <c r="A24" s="10">
        <v>23</v>
      </c>
      <c r="B24" s="10"/>
      <c r="C24" s="10"/>
      <c r="D24" s="10"/>
      <c r="E24" s="10"/>
      <c r="F24" s="10">
        <v>1</v>
      </c>
      <c r="G24" s="11">
        <v>10511206000</v>
      </c>
      <c r="H24" s="10">
        <v>1</v>
      </c>
      <c r="I24" s="10" t="s">
        <v>107</v>
      </c>
      <c r="J24" s="10" t="s">
        <v>27</v>
      </c>
      <c r="K24" s="10"/>
      <c r="L24" s="9">
        <v>38</v>
      </c>
      <c r="M24" s="10">
        <v>53</v>
      </c>
      <c r="N24" s="9">
        <v>18.850000000000001</v>
      </c>
      <c r="O24" s="10">
        <f t="shared" si="0"/>
        <v>10511206000</v>
      </c>
      <c r="P24" s="10" t="s">
        <v>108</v>
      </c>
      <c r="Q24" s="10" t="s">
        <v>32</v>
      </c>
      <c r="R24" s="12"/>
      <c r="S24" s="16" t="s">
        <v>109</v>
      </c>
      <c r="T24" s="10" t="str">
        <f t="shared" si="1"/>
        <v>Walther P22 Messer,Accueil,Messer plus,Klappmesser,airsoft,Walther</v>
      </c>
      <c r="U24" s="10" t="str">
        <f t="shared" si="2"/>
        <v>Walther P22 Messer</v>
      </c>
      <c r="V24" s="10" t="str">
        <f t="shared" si="8"/>
        <v>Walther P22 Messer,Accueil,Messer plus,Klappmesser,airsoft,Walther</v>
      </c>
      <c r="W24" s="10">
        <v>1</v>
      </c>
      <c r="X24" s="10">
        <v>1</v>
      </c>
      <c r="Y24" s="10" t="str">
        <f t="shared" si="3"/>
        <v>http://usfh.ch/img/Messer/10511206000.jpg</v>
      </c>
      <c r="Z24" s="10">
        <f t="shared" si="4"/>
        <v>10511206000</v>
      </c>
      <c r="AA24" s="13">
        <f t="shared" si="5"/>
        <v>38</v>
      </c>
      <c r="AB24" s="13">
        <f t="shared" si="6"/>
        <v>18.850000000000001</v>
      </c>
      <c r="AC24" s="10">
        <v>0.5</v>
      </c>
    </row>
    <row r="25" spans="1:29" s="14" customFormat="1" ht="15" customHeight="1" x14ac:dyDescent="0.25">
      <c r="A25" s="10">
        <v>24</v>
      </c>
      <c r="B25" s="10"/>
      <c r="C25" s="10"/>
      <c r="D25" s="10"/>
      <c r="E25" s="10"/>
      <c r="F25" s="10">
        <v>2</v>
      </c>
      <c r="G25" s="11">
        <v>88217</v>
      </c>
      <c r="H25" s="10">
        <v>1</v>
      </c>
      <c r="I25" s="10" t="s">
        <v>110</v>
      </c>
      <c r="J25" s="10" t="s">
        <v>30</v>
      </c>
      <c r="K25" s="10"/>
      <c r="L25" s="9">
        <v>52</v>
      </c>
      <c r="M25" s="10">
        <v>53</v>
      </c>
      <c r="N25" s="9">
        <v>21.3</v>
      </c>
      <c r="O25" s="10">
        <f t="shared" si="0"/>
        <v>88217</v>
      </c>
      <c r="P25" s="10" t="s">
        <v>44</v>
      </c>
      <c r="Q25" s="10" t="s">
        <v>111</v>
      </c>
      <c r="R25" s="12">
        <v>4050346882170</v>
      </c>
      <c r="S25" s="16" t="s">
        <v>112</v>
      </c>
      <c r="T25" s="10" t="str">
        <f t="shared" si="1"/>
        <v>BlackField SKELETON,Accueil,Messer plus,feste Klinge,Haller,BlackField</v>
      </c>
      <c r="U25" s="10" t="str">
        <f t="shared" si="2"/>
        <v>BlackField SKELETON</v>
      </c>
      <c r="V25" s="10" t="str">
        <f t="shared" si="8"/>
        <v>BlackField SKELETON,Accueil,Messer plus,feste Klinge,Haller,BlackField</v>
      </c>
      <c r="W25" s="10">
        <v>1</v>
      </c>
      <c r="X25" s="10">
        <v>1</v>
      </c>
      <c r="Y25" s="10" t="str">
        <f t="shared" si="3"/>
        <v>http://usfh.ch/img/Messer/88217.jpg</v>
      </c>
      <c r="Z25" s="10">
        <f t="shared" si="4"/>
        <v>88217</v>
      </c>
      <c r="AA25" s="13">
        <f t="shared" si="5"/>
        <v>104</v>
      </c>
      <c r="AB25" s="13">
        <f t="shared" si="6"/>
        <v>42.6</v>
      </c>
      <c r="AC25" s="10">
        <v>0.5</v>
      </c>
    </row>
    <row r="26" spans="1:29" s="14" customFormat="1" ht="15" customHeight="1" x14ac:dyDescent="0.25">
      <c r="A26" s="10">
        <v>25</v>
      </c>
      <c r="B26" s="10"/>
      <c r="C26" s="10"/>
      <c r="D26" s="10"/>
      <c r="E26" s="10"/>
      <c r="F26" s="10">
        <v>0</v>
      </c>
      <c r="G26" s="11">
        <v>336511</v>
      </c>
      <c r="H26" s="10">
        <v>1</v>
      </c>
      <c r="I26" s="10" t="s">
        <v>113</v>
      </c>
      <c r="J26" s="10" t="s">
        <v>27</v>
      </c>
      <c r="K26" s="10"/>
      <c r="L26" s="9">
        <v>35</v>
      </c>
      <c r="M26" s="10">
        <v>53</v>
      </c>
      <c r="N26" s="9">
        <v>13</v>
      </c>
      <c r="O26" s="10">
        <f t="shared" si="0"/>
        <v>336511</v>
      </c>
      <c r="P26" s="10" t="s">
        <v>76</v>
      </c>
      <c r="Q26" s="10" t="s">
        <v>76</v>
      </c>
      <c r="R26" s="12"/>
      <c r="S26" s="16" t="s">
        <v>114</v>
      </c>
      <c r="T26" s="10" t="str">
        <f t="shared" si="1"/>
        <v>Linder Black Line 2,Accueil,Messer plus,Klappmesser,Linder,Linder</v>
      </c>
      <c r="U26" s="10" t="str">
        <f t="shared" si="2"/>
        <v>Linder Black Line 2</v>
      </c>
      <c r="V26" s="10" t="str">
        <f t="shared" si="8"/>
        <v>Linder Black Line 2,Accueil,Messer plus,Klappmesser,Linder,Linder</v>
      </c>
      <c r="W26" s="10">
        <v>1</v>
      </c>
      <c r="X26" s="10">
        <v>1</v>
      </c>
      <c r="Y26" s="10" t="str">
        <f t="shared" si="3"/>
        <v>http://usfh.ch/img/Messer/336511.jpg</v>
      </c>
      <c r="Z26" s="10">
        <f t="shared" si="4"/>
        <v>336511</v>
      </c>
      <c r="AA26" s="13">
        <f t="shared" si="5"/>
        <v>0</v>
      </c>
      <c r="AB26" s="13">
        <f t="shared" si="6"/>
        <v>0</v>
      </c>
      <c r="AC26" s="10">
        <v>0.5</v>
      </c>
    </row>
    <row r="27" spans="1:29" s="14" customFormat="1" ht="15" customHeight="1" x14ac:dyDescent="0.25">
      <c r="A27" s="10">
        <v>26</v>
      </c>
      <c r="B27" s="10">
        <v>0</v>
      </c>
      <c r="C27" s="10"/>
      <c r="D27" s="10"/>
      <c r="E27" s="10"/>
      <c r="F27" s="10">
        <v>0</v>
      </c>
      <c r="G27" s="11">
        <v>88223</v>
      </c>
      <c r="H27" s="10">
        <v>1</v>
      </c>
      <c r="I27" s="10" t="s">
        <v>115</v>
      </c>
      <c r="J27" s="10" t="s">
        <v>30</v>
      </c>
      <c r="K27" s="10"/>
      <c r="L27" s="9">
        <v>99</v>
      </c>
      <c r="M27" s="10">
        <v>53</v>
      </c>
      <c r="N27" s="9">
        <v>34.950000000000003</v>
      </c>
      <c r="O27" s="10">
        <f t="shared" si="0"/>
        <v>88223</v>
      </c>
      <c r="P27" s="10" t="s">
        <v>44</v>
      </c>
      <c r="Q27" s="10" t="s">
        <v>111</v>
      </c>
      <c r="R27" s="12">
        <v>4050346882231</v>
      </c>
      <c r="S27" s="16" t="s">
        <v>116</v>
      </c>
      <c r="T27" s="10" t="str">
        <f t="shared" si="1"/>
        <v>BlackField SMASHER,Accueil,Messer plus,feste Klinge,Haller,BlackField</v>
      </c>
      <c r="U27" s="10" t="str">
        <f t="shared" si="2"/>
        <v>BlackField SMASHER</v>
      </c>
      <c r="V27" s="10" t="str">
        <f t="shared" si="8"/>
        <v>BlackField SMASHER,Accueil,Messer plus,feste Klinge,Haller,BlackField</v>
      </c>
      <c r="W27" s="10">
        <v>1</v>
      </c>
      <c r="X27" s="10">
        <v>1</v>
      </c>
      <c r="Y27" s="10" t="str">
        <f t="shared" si="3"/>
        <v>http://usfh.ch/img/Messer/88223.jpg</v>
      </c>
      <c r="Z27" s="10">
        <f t="shared" si="4"/>
        <v>88223</v>
      </c>
      <c r="AA27" s="13">
        <f t="shared" si="5"/>
        <v>0</v>
      </c>
      <c r="AB27" s="13">
        <f t="shared" si="6"/>
        <v>0</v>
      </c>
      <c r="AC27" s="10">
        <v>0.5</v>
      </c>
    </row>
    <row r="28" spans="1:29" s="14" customFormat="1" ht="15" customHeight="1" x14ac:dyDescent="0.25">
      <c r="A28" s="10">
        <v>27</v>
      </c>
      <c r="B28" s="10"/>
      <c r="C28" s="10"/>
      <c r="D28" s="10"/>
      <c r="E28" s="10"/>
      <c r="F28" s="10">
        <v>2</v>
      </c>
      <c r="G28" s="11">
        <v>88205</v>
      </c>
      <c r="H28" s="10">
        <v>1</v>
      </c>
      <c r="I28" s="10" t="s">
        <v>117</v>
      </c>
      <c r="J28" s="10" t="s">
        <v>30</v>
      </c>
      <c r="K28" s="10"/>
      <c r="L28" s="9">
        <v>94</v>
      </c>
      <c r="M28" s="10">
        <v>53</v>
      </c>
      <c r="N28" s="9">
        <v>41.5</v>
      </c>
      <c r="O28" s="10">
        <f t="shared" si="0"/>
        <v>88205</v>
      </c>
      <c r="P28" s="10" t="s">
        <v>44</v>
      </c>
      <c r="Q28" s="10" t="s">
        <v>111</v>
      </c>
      <c r="R28" s="12">
        <v>4050346882057</v>
      </c>
      <c r="S28" s="16" t="s">
        <v>118</v>
      </c>
      <c r="T28" s="10" t="str">
        <f t="shared" si="1"/>
        <v>BlackField DESERT STORM,Accueil,Messer plus,feste Klinge,Haller,BlackField</v>
      </c>
      <c r="U28" s="10" t="str">
        <f t="shared" si="2"/>
        <v>BlackField DESERT STORM</v>
      </c>
      <c r="V28" s="10" t="str">
        <f t="shared" si="8"/>
        <v>BlackField DESERT STORM,Accueil,Messer plus,feste Klinge,Haller,BlackField</v>
      </c>
      <c r="W28" s="10">
        <v>1</v>
      </c>
      <c r="X28" s="10">
        <v>1</v>
      </c>
      <c r="Y28" s="10" t="str">
        <f t="shared" si="3"/>
        <v>http://usfh.ch/img/Messer/88205.jpg</v>
      </c>
      <c r="Z28" s="10">
        <f t="shared" si="4"/>
        <v>88205</v>
      </c>
      <c r="AA28" s="13">
        <f t="shared" si="5"/>
        <v>188</v>
      </c>
      <c r="AB28" s="13">
        <f t="shared" si="6"/>
        <v>83</v>
      </c>
      <c r="AC28" s="10">
        <v>0.5</v>
      </c>
    </row>
    <row r="29" spans="1:29" s="14" customFormat="1" ht="15" customHeight="1" x14ac:dyDescent="0.25">
      <c r="A29" s="10">
        <v>28</v>
      </c>
      <c r="B29" s="10"/>
      <c r="C29" s="10"/>
      <c r="D29" s="10"/>
      <c r="E29" s="10"/>
      <c r="F29" s="10">
        <v>0</v>
      </c>
      <c r="G29" s="11" t="s">
        <v>121</v>
      </c>
      <c r="H29" s="10">
        <v>1</v>
      </c>
      <c r="I29" s="10" t="s">
        <v>122</v>
      </c>
      <c r="J29" s="10" t="s">
        <v>30</v>
      </c>
      <c r="K29" s="10"/>
      <c r="L29" s="9">
        <v>59</v>
      </c>
      <c r="M29" s="10">
        <v>53</v>
      </c>
      <c r="N29" s="9">
        <v>24.5</v>
      </c>
      <c r="O29" s="10" t="str">
        <f t="shared" si="0"/>
        <v>SOG-MC-11-N</v>
      </c>
      <c r="P29" s="10" t="s">
        <v>119</v>
      </c>
      <c r="Q29" s="10" t="s">
        <v>120</v>
      </c>
      <c r="R29" s="10"/>
      <c r="S29" s="16" t="s">
        <v>123</v>
      </c>
      <c r="T29" s="10" t="str">
        <f t="shared" si="1"/>
        <v>SOG FARI KUKRI,Accueil,Messer plus,feste Klinge,Klötzli,SOG</v>
      </c>
      <c r="U29" s="10" t="str">
        <f t="shared" si="2"/>
        <v>SOG FARI KUKRI</v>
      </c>
      <c r="V29" s="10" t="str">
        <f t="shared" si="8"/>
        <v>SOG FARI KUKRI,Accueil,Messer plus,feste Klinge,Klötzli,SOG</v>
      </c>
      <c r="W29" s="10">
        <v>1</v>
      </c>
      <c r="X29" s="10">
        <v>1</v>
      </c>
      <c r="Y29" s="10" t="str">
        <f t="shared" si="3"/>
        <v>http://usfh.ch/img/Messer/SOG-MC-11-N.jpg</v>
      </c>
      <c r="Z29" s="10" t="str">
        <f t="shared" si="4"/>
        <v>SOG-MC-11-N</v>
      </c>
      <c r="AA29" s="13">
        <f t="shared" si="5"/>
        <v>0</v>
      </c>
      <c r="AB29" s="13">
        <f t="shared" si="6"/>
        <v>0</v>
      </c>
      <c r="AC29" s="10">
        <v>0.5</v>
      </c>
    </row>
    <row r="30" spans="1:29" s="14" customFormat="1" ht="15" customHeight="1" x14ac:dyDescent="0.25">
      <c r="A30" s="10">
        <v>29</v>
      </c>
      <c r="B30" s="10"/>
      <c r="C30" s="10">
        <v>0</v>
      </c>
      <c r="D30" s="10"/>
      <c r="E30" s="10"/>
      <c r="F30" s="10">
        <v>1</v>
      </c>
      <c r="G30" s="11">
        <v>10146506000</v>
      </c>
      <c r="H30" s="10">
        <v>1</v>
      </c>
      <c r="I30" s="10" t="s">
        <v>124</v>
      </c>
      <c r="J30" s="10" t="s">
        <v>30</v>
      </c>
      <c r="K30" s="10"/>
      <c r="L30" s="9">
        <v>75</v>
      </c>
      <c r="M30" s="10">
        <v>53</v>
      </c>
      <c r="N30" s="9">
        <v>31.75</v>
      </c>
      <c r="O30" s="10">
        <f t="shared" si="0"/>
        <v>10146506000</v>
      </c>
      <c r="P30" s="10" t="s">
        <v>108</v>
      </c>
      <c r="Q30" s="10" t="s">
        <v>32</v>
      </c>
      <c r="R30" s="10"/>
      <c r="S30" s="16" t="s">
        <v>125</v>
      </c>
      <c r="T30" s="10" t="str">
        <f t="shared" si="1"/>
        <v>Walther Mach Tac 1 Machete,Accueil,Messer plus,feste Klinge,airsoft,Walther</v>
      </c>
      <c r="U30" s="10" t="str">
        <f t="shared" si="2"/>
        <v>Walther Mach Tac 1 Machete</v>
      </c>
      <c r="V30" s="10" t="str">
        <f t="shared" si="8"/>
        <v>Walther Mach Tac 1 Machete,Accueil,Messer plus,feste Klinge,airsoft,Walther</v>
      </c>
      <c r="W30" s="10">
        <v>1</v>
      </c>
      <c r="X30" s="10">
        <v>1</v>
      </c>
      <c r="Y30" s="10" t="str">
        <f t="shared" si="3"/>
        <v>http://usfh.ch/img/Messer/10146506000.jpg</v>
      </c>
      <c r="Z30" s="10">
        <f t="shared" si="4"/>
        <v>10146506000</v>
      </c>
      <c r="AA30" s="13">
        <f t="shared" si="5"/>
        <v>75</v>
      </c>
      <c r="AB30" s="13">
        <f t="shared" si="6"/>
        <v>31.75</v>
      </c>
      <c r="AC30" s="10">
        <v>0.5</v>
      </c>
    </row>
    <row r="31" spans="1:29" s="14" customFormat="1" ht="15" customHeight="1" x14ac:dyDescent="0.25">
      <c r="A31" s="10">
        <v>30</v>
      </c>
      <c r="B31" s="10"/>
      <c r="C31" s="10"/>
      <c r="D31" s="10"/>
      <c r="E31" s="10"/>
      <c r="F31" s="10">
        <v>2</v>
      </c>
      <c r="G31" s="11" t="s">
        <v>126</v>
      </c>
      <c r="H31" s="10">
        <v>1</v>
      </c>
      <c r="I31" s="10" t="s">
        <v>127</v>
      </c>
      <c r="J31" s="10" t="s">
        <v>30</v>
      </c>
      <c r="K31" s="10"/>
      <c r="L31" s="9">
        <v>65</v>
      </c>
      <c r="M31" s="10">
        <v>53</v>
      </c>
      <c r="N31" s="9">
        <v>29.4</v>
      </c>
      <c r="O31" s="10" t="str">
        <f t="shared" si="0"/>
        <v>SOG-GB1001-CP</v>
      </c>
      <c r="P31" s="10" t="s">
        <v>119</v>
      </c>
      <c r="Q31" s="10" t="s">
        <v>120</v>
      </c>
      <c r="R31" s="12"/>
      <c r="S31" s="16" t="s">
        <v>128</v>
      </c>
      <c r="T31" s="10" t="str">
        <f t="shared" si="1"/>
        <v>Fahrtenmesser SOG Gambit,Accueil,Messer plus,feste Klinge,Klötzli,SOG</v>
      </c>
      <c r="U31" s="10" t="str">
        <f t="shared" si="2"/>
        <v>Fahrtenmesser SOG Gambit</v>
      </c>
      <c r="V31" s="10" t="str">
        <f t="shared" si="8"/>
        <v>Fahrtenmesser SOG Gambit,Accueil,Messer plus,feste Klinge,Klötzli,SOG</v>
      </c>
      <c r="W31" s="10">
        <v>1</v>
      </c>
      <c r="X31" s="10">
        <v>1</v>
      </c>
      <c r="Y31" s="10" t="str">
        <f t="shared" si="3"/>
        <v>http://usfh.ch/img/Messer/SOG-GB1001-CP.jpg</v>
      </c>
      <c r="Z31" s="10" t="str">
        <f t="shared" si="4"/>
        <v>SOG-GB1001-CP</v>
      </c>
      <c r="AA31" s="13">
        <f t="shared" si="5"/>
        <v>130</v>
      </c>
      <c r="AB31" s="13">
        <f t="shared" si="6"/>
        <v>58.8</v>
      </c>
      <c r="AC31" s="10">
        <v>0.5</v>
      </c>
    </row>
    <row r="32" spans="1:29" s="14" customFormat="1" ht="15" customHeight="1" x14ac:dyDescent="0.25">
      <c r="A32" s="10">
        <v>31</v>
      </c>
      <c r="B32" s="10"/>
      <c r="C32" s="10"/>
      <c r="D32" s="10"/>
      <c r="E32" s="10"/>
      <c r="F32" s="10">
        <v>1</v>
      </c>
      <c r="G32" s="11" t="s">
        <v>129</v>
      </c>
      <c r="H32" s="10">
        <v>1</v>
      </c>
      <c r="I32" s="10" t="s">
        <v>130</v>
      </c>
      <c r="J32" s="10" t="s">
        <v>30</v>
      </c>
      <c r="K32" s="10"/>
      <c r="L32" s="9">
        <v>99</v>
      </c>
      <c r="M32" s="10">
        <v>53</v>
      </c>
      <c r="N32" s="9">
        <v>45</v>
      </c>
      <c r="O32" s="10" t="str">
        <f t="shared" si="0"/>
        <v>02LL316</v>
      </c>
      <c r="P32" s="10" t="s">
        <v>40</v>
      </c>
      <c r="Q32" s="10" t="s">
        <v>41</v>
      </c>
      <c r="R32" s="12">
        <v>4045011097102</v>
      </c>
      <c r="S32" s="16" t="s">
        <v>131</v>
      </c>
      <c r="T32" s="10" t="str">
        <f t="shared" si="1"/>
        <v>Fahrtenmesser Magnum Back Country Subhilt Micarta,Accueil,Messer plus,feste Klinge,Böker,Magnum</v>
      </c>
      <c r="U32" s="10" t="str">
        <f t="shared" si="2"/>
        <v>Fahrtenmesser Magnum Back Country Subhilt Micarta</v>
      </c>
      <c r="V32" s="10" t="str">
        <f t="shared" si="8"/>
        <v>Fahrtenmesser Magnum Back Country Subhilt Micarta,Accueil,Messer plus,feste Klinge,Böker,Magnum</v>
      </c>
      <c r="W32" s="10">
        <v>0</v>
      </c>
      <c r="X32" s="10">
        <v>1</v>
      </c>
      <c r="Y32" s="10" t="str">
        <f t="shared" si="3"/>
        <v>http://usfh.ch/img/Messer/02LL316.jpg</v>
      </c>
      <c r="Z32" s="10" t="str">
        <f t="shared" si="4"/>
        <v>02LL316</v>
      </c>
      <c r="AA32" s="13">
        <f t="shared" si="5"/>
        <v>99</v>
      </c>
      <c r="AB32" s="13">
        <f t="shared" si="6"/>
        <v>45</v>
      </c>
      <c r="AC32" s="10">
        <v>0.5</v>
      </c>
    </row>
    <row r="33" spans="1:29" s="14" customFormat="1" ht="15" customHeight="1" x14ac:dyDescent="0.25">
      <c r="A33" s="10">
        <v>32</v>
      </c>
      <c r="B33" s="10"/>
      <c r="C33" s="10"/>
      <c r="D33" s="10"/>
      <c r="E33" s="10"/>
      <c r="F33" s="10">
        <v>1</v>
      </c>
      <c r="G33" s="11" t="s">
        <v>132</v>
      </c>
      <c r="H33" s="10">
        <v>1</v>
      </c>
      <c r="I33" s="10" t="s">
        <v>133</v>
      </c>
      <c r="J33" s="10" t="s">
        <v>27</v>
      </c>
      <c r="K33" s="10"/>
      <c r="L33" s="9">
        <v>109</v>
      </c>
      <c r="M33" s="10">
        <v>53</v>
      </c>
      <c r="N33" s="9">
        <v>47.4</v>
      </c>
      <c r="O33" s="10" t="str">
        <f t="shared" si="0"/>
        <v>01MB180DAM</v>
      </c>
      <c r="P33" s="10" t="s">
        <v>40</v>
      </c>
      <c r="Q33" s="10" t="s">
        <v>41</v>
      </c>
      <c r="R33" s="12">
        <v>4045011071836</v>
      </c>
      <c r="S33" s="16" t="s">
        <v>134</v>
      </c>
      <c r="T33" s="10" t="str">
        <f t="shared" si="1"/>
        <v>Taschenmesser Magnum Damast Bone,Accueil,Messer plus,Klappmesser,Böker,Magnum</v>
      </c>
      <c r="U33" s="10" t="str">
        <f t="shared" si="2"/>
        <v>Taschenmesser Magnum Damast Bone</v>
      </c>
      <c r="V33" s="10" t="str">
        <f t="shared" si="8"/>
        <v>Taschenmesser Magnum Damast Bone,Accueil,Messer plus,Klappmesser,Böker,Magnum</v>
      </c>
      <c r="W33" s="10">
        <v>1</v>
      </c>
      <c r="X33" s="10">
        <v>1</v>
      </c>
      <c r="Y33" s="10" t="str">
        <f t="shared" si="3"/>
        <v>http://usfh.ch/img/Messer/01MB180DAM.jpg</v>
      </c>
      <c r="Z33" s="10" t="str">
        <f t="shared" si="4"/>
        <v>01MB180DAM</v>
      </c>
      <c r="AA33" s="13">
        <f t="shared" si="5"/>
        <v>109</v>
      </c>
      <c r="AB33" s="13">
        <f t="shared" si="6"/>
        <v>47.4</v>
      </c>
      <c r="AC33" s="10">
        <v>0.5</v>
      </c>
    </row>
    <row r="34" spans="1:29" s="14" customFormat="1" ht="15" customHeight="1" x14ac:dyDescent="0.25">
      <c r="A34" s="10">
        <v>33</v>
      </c>
      <c r="B34" s="10"/>
      <c r="C34" s="10">
        <v>2</v>
      </c>
      <c r="D34" s="10"/>
      <c r="E34" s="10"/>
      <c r="F34" s="10">
        <v>2</v>
      </c>
      <c r="G34" s="11" t="s">
        <v>135</v>
      </c>
      <c r="H34" s="10">
        <v>1</v>
      </c>
      <c r="I34" s="10" t="s">
        <v>136</v>
      </c>
      <c r="J34" s="10" t="s">
        <v>27</v>
      </c>
      <c r="K34" s="10"/>
      <c r="L34" s="9">
        <v>35</v>
      </c>
      <c r="M34" s="10">
        <v>53</v>
      </c>
      <c r="N34" s="9">
        <v>9</v>
      </c>
      <c r="O34" s="10" t="str">
        <f t="shared" si="0"/>
        <v>01MB428</v>
      </c>
      <c r="P34" s="10" t="s">
        <v>40</v>
      </c>
      <c r="Q34" s="10" t="s">
        <v>41</v>
      </c>
      <c r="R34" s="12">
        <v>4045011045233</v>
      </c>
      <c r="S34" s="16" t="s">
        <v>137</v>
      </c>
      <c r="T34" s="10" t="str">
        <f t="shared" si="1"/>
        <v>Taschenmesser Magnum Shadow,Accueil,Messer plus,Klappmesser,Böker,Magnum</v>
      </c>
      <c r="U34" s="10" t="str">
        <f t="shared" si="2"/>
        <v>Taschenmesser Magnum Shadow</v>
      </c>
      <c r="V34" s="10" t="str">
        <f t="shared" si="8"/>
        <v>Taschenmesser Magnum Shadow,Accueil,Messer plus,Klappmesser,Böker,Magnum</v>
      </c>
      <c r="W34" s="10">
        <v>1</v>
      </c>
      <c r="X34" s="10">
        <v>1</v>
      </c>
      <c r="Y34" s="10" t="str">
        <f t="shared" si="3"/>
        <v>http://usfh.ch/img/Messer/01MB428.jpg</v>
      </c>
      <c r="Z34" s="10" t="str">
        <f t="shared" si="4"/>
        <v>01MB428</v>
      </c>
      <c r="AA34" s="13">
        <f t="shared" si="5"/>
        <v>70</v>
      </c>
      <c r="AB34" s="13">
        <f t="shared" si="6"/>
        <v>18</v>
      </c>
      <c r="AC34" s="10">
        <v>0.5</v>
      </c>
    </row>
    <row r="35" spans="1:29" s="14" customFormat="1" ht="15" customHeight="1" x14ac:dyDescent="0.25">
      <c r="A35" s="10">
        <v>34</v>
      </c>
      <c r="B35" s="10"/>
      <c r="C35" s="10"/>
      <c r="D35" s="10"/>
      <c r="E35" s="10"/>
      <c r="F35" s="10">
        <v>1</v>
      </c>
      <c r="G35" s="11" t="s">
        <v>139</v>
      </c>
      <c r="H35" s="10">
        <v>1</v>
      </c>
      <c r="I35" s="10" t="s">
        <v>140</v>
      </c>
      <c r="J35" s="10" t="s">
        <v>30</v>
      </c>
      <c r="K35" s="10"/>
      <c r="L35" s="9">
        <v>109</v>
      </c>
      <c r="M35" s="10">
        <v>53</v>
      </c>
      <c r="N35" s="9">
        <v>46.2</v>
      </c>
      <c r="O35" s="10" t="str">
        <f t="shared" si="0"/>
        <v>02OE006</v>
      </c>
      <c r="P35" s="10" t="s">
        <v>40</v>
      </c>
      <c r="Q35" s="10" t="s">
        <v>141</v>
      </c>
      <c r="R35" s="10"/>
      <c r="S35" s="16" t="s">
        <v>142</v>
      </c>
      <c r="T35" s="10" t="str">
        <f t="shared" si="1"/>
        <v xml:space="preserve">Fahrtenmesser Outdoor Edge Butcher-Lite,Accueil,Messer plus,feste Klinge,Böker,Outdoor Edge </v>
      </c>
      <c r="U35" s="10" t="str">
        <f t="shared" si="2"/>
        <v>Fahrtenmesser Outdoor Edge Butcher-Lite</v>
      </c>
      <c r="V35" s="10" t="str">
        <f t="shared" si="8"/>
        <v xml:space="preserve">Fahrtenmesser Outdoor Edge Butcher-Lite,Accueil,Messer plus,feste Klinge,Böker,Outdoor Edge </v>
      </c>
      <c r="W35" s="10">
        <v>1</v>
      </c>
      <c r="X35" s="10">
        <v>1</v>
      </c>
      <c r="Y35" s="10" t="str">
        <f t="shared" si="3"/>
        <v>http://usfh.ch/img/Messer/02OE006.jpg</v>
      </c>
      <c r="Z35" s="10" t="str">
        <f t="shared" si="4"/>
        <v>02OE006</v>
      </c>
      <c r="AA35" s="13">
        <f t="shared" si="5"/>
        <v>109</v>
      </c>
      <c r="AB35" s="13">
        <f t="shared" si="6"/>
        <v>46.2</v>
      </c>
      <c r="AC35" s="10">
        <v>0.5</v>
      </c>
    </row>
    <row r="36" spans="1:29" s="14" customFormat="1" ht="15" customHeight="1" x14ac:dyDescent="0.25">
      <c r="A36" s="10">
        <v>35</v>
      </c>
      <c r="B36" s="10"/>
      <c r="C36" s="10"/>
      <c r="D36" s="10"/>
      <c r="E36" s="10"/>
      <c r="F36" s="10">
        <v>0</v>
      </c>
      <c r="G36" s="11">
        <v>444408</v>
      </c>
      <c r="H36" s="10">
        <v>1</v>
      </c>
      <c r="I36" s="10" t="s">
        <v>143</v>
      </c>
      <c r="J36" s="10" t="s">
        <v>30</v>
      </c>
      <c r="K36" s="10"/>
      <c r="L36" s="9">
        <v>51</v>
      </c>
      <c r="M36" s="10">
        <v>53</v>
      </c>
      <c r="N36" s="9">
        <v>10.1</v>
      </c>
      <c r="O36" s="10">
        <f t="shared" si="0"/>
        <v>444408</v>
      </c>
      <c r="P36" s="10" t="s">
        <v>76</v>
      </c>
      <c r="Q36" s="10" t="s">
        <v>76</v>
      </c>
      <c r="R36" s="10"/>
      <c r="S36" s="16" t="s">
        <v>144</v>
      </c>
      <c r="T36" s="10" t="str">
        <f t="shared" si="1"/>
        <v>Linder Panda 6,Accueil,Messer plus,feste Klinge,Linder,Linder</v>
      </c>
      <c r="U36" s="10" t="str">
        <f t="shared" si="2"/>
        <v>Linder Panda 6</v>
      </c>
      <c r="V36" s="10" t="str">
        <f t="shared" si="8"/>
        <v>Linder Panda 6,Accueil,Messer plus,feste Klinge,Linder,Linder</v>
      </c>
      <c r="W36" s="10">
        <v>1</v>
      </c>
      <c r="X36" s="10">
        <v>1</v>
      </c>
      <c r="Y36" s="10" t="str">
        <f t="shared" si="3"/>
        <v>http://usfh.ch/img/Messer/444408.jpg</v>
      </c>
      <c r="Z36" s="10">
        <f t="shared" si="4"/>
        <v>444408</v>
      </c>
      <c r="AA36" s="13">
        <f t="shared" si="5"/>
        <v>0</v>
      </c>
      <c r="AB36" s="13">
        <f t="shared" si="6"/>
        <v>0</v>
      </c>
      <c r="AC36" s="10">
        <v>0.5</v>
      </c>
    </row>
    <row r="37" spans="1:29" s="14" customFormat="1" ht="15" customHeight="1" x14ac:dyDescent="0.25">
      <c r="A37" s="10">
        <v>36</v>
      </c>
      <c r="B37" s="10"/>
      <c r="C37" s="10"/>
      <c r="D37" s="10"/>
      <c r="E37" s="10"/>
      <c r="F37" s="10">
        <v>2</v>
      </c>
      <c r="G37" s="11" t="s">
        <v>145</v>
      </c>
      <c r="H37" s="10">
        <v>1</v>
      </c>
      <c r="I37" s="10" t="s">
        <v>146</v>
      </c>
      <c r="J37" s="10" t="s">
        <v>30</v>
      </c>
      <c r="K37" s="10"/>
      <c r="L37" s="9">
        <v>82</v>
      </c>
      <c r="M37" s="10">
        <v>53</v>
      </c>
      <c r="N37" s="9">
        <v>36.4</v>
      </c>
      <c r="O37" s="10" t="str">
        <f t="shared" ref="O37:O64" si="9">G37</f>
        <v>02SC028</v>
      </c>
      <c r="P37" s="10" t="s">
        <v>40</v>
      </c>
      <c r="Q37" s="10" t="s">
        <v>41</v>
      </c>
      <c r="R37" s="12">
        <v>4045011133688</v>
      </c>
      <c r="S37" s="16" t="s">
        <v>147</v>
      </c>
      <c r="T37" s="10" t="str">
        <f t="shared" ref="T37:T64" si="10">$I37 &amp; "," &amp; $J37 &amp;"," &amp; $P37 &amp;","&amp; $Q37</f>
        <v>Magnum Spike Karambit,Accueil,Messer plus,feste Klinge,Böker,Magnum</v>
      </c>
      <c r="U37" s="10" t="str">
        <f t="shared" ref="U37:U64" si="11">I37</f>
        <v>Magnum Spike Karambit</v>
      </c>
      <c r="V37" s="10" t="str">
        <f t="shared" si="8"/>
        <v>Magnum Spike Karambit,Accueil,Messer plus,feste Klinge,Böker,Magnum</v>
      </c>
      <c r="W37" s="10">
        <v>1</v>
      </c>
      <c r="X37" s="10">
        <v>1</v>
      </c>
      <c r="Y37" s="10" t="str">
        <f t="shared" ref="Y37:Y64" si="12" xml:space="preserve"> "http://usfh.ch/img/Messer/" &amp; G37 &amp; ".jpg"</f>
        <v>http://usfh.ch/img/Messer/02SC028.jpg</v>
      </c>
      <c r="Z37" s="10" t="str">
        <f t="shared" ref="Z37:Z64" si="13">G37</f>
        <v>02SC028</v>
      </c>
      <c r="AA37" s="13">
        <f t="shared" ref="AA37:AA64" si="14">F37*L37</f>
        <v>164</v>
      </c>
      <c r="AB37" s="13">
        <f t="shared" ref="AB37:AB64" si="15">F37*N37</f>
        <v>72.8</v>
      </c>
      <c r="AC37" s="10">
        <v>0.5</v>
      </c>
    </row>
    <row r="38" spans="1:29" s="14" customFormat="1" ht="15" customHeight="1" x14ac:dyDescent="0.25">
      <c r="A38" s="10">
        <v>37</v>
      </c>
      <c r="B38" s="10"/>
      <c r="C38" s="10"/>
      <c r="D38" s="10"/>
      <c r="E38" s="10"/>
      <c r="F38" s="10">
        <v>1</v>
      </c>
      <c r="G38" s="11" t="s">
        <v>148</v>
      </c>
      <c r="H38" s="10">
        <v>1</v>
      </c>
      <c r="I38" s="10" t="s">
        <v>149</v>
      </c>
      <c r="J38" s="10" t="s">
        <v>27</v>
      </c>
      <c r="K38" s="10"/>
      <c r="L38" s="9">
        <v>169</v>
      </c>
      <c r="M38" s="10">
        <v>53</v>
      </c>
      <c r="N38" s="9">
        <v>67</v>
      </c>
      <c r="O38" s="10" t="str">
        <f t="shared" si="9"/>
        <v>01FX599</v>
      </c>
      <c r="P38" s="10" t="s">
        <v>40</v>
      </c>
      <c r="Q38" s="10" t="s">
        <v>63</v>
      </c>
      <c r="R38" s="12">
        <v>4045011084942</v>
      </c>
      <c r="S38" s="16" t="s">
        <v>150</v>
      </c>
      <c r="T38" s="10" t="str">
        <f t="shared" si="10"/>
        <v>Fox Small Folding Karambit,Accueil,Messer plus,Klappmesser,Böker,FKMD</v>
      </c>
      <c r="U38" s="10" t="str">
        <f t="shared" si="11"/>
        <v>Fox Small Folding Karambit</v>
      </c>
      <c r="V38" s="10" t="str">
        <f t="shared" ref="V38:V50" si="16">T38</f>
        <v>Fox Small Folding Karambit,Accueil,Messer plus,Klappmesser,Böker,FKMD</v>
      </c>
      <c r="W38" s="10">
        <v>1</v>
      </c>
      <c r="X38" s="10">
        <v>1</v>
      </c>
      <c r="Y38" s="10" t="str">
        <f t="shared" si="12"/>
        <v>http://usfh.ch/img/Messer/01FX599.jpg</v>
      </c>
      <c r="Z38" s="10" t="str">
        <f t="shared" si="13"/>
        <v>01FX599</v>
      </c>
      <c r="AA38" s="13">
        <f t="shared" si="14"/>
        <v>169</v>
      </c>
      <c r="AB38" s="13">
        <f t="shared" si="15"/>
        <v>67</v>
      </c>
      <c r="AC38" s="10">
        <v>0.5</v>
      </c>
    </row>
    <row r="39" spans="1:29" s="14" customFormat="1" ht="15" customHeight="1" x14ac:dyDescent="0.25">
      <c r="A39" s="10">
        <v>38</v>
      </c>
      <c r="B39" s="10"/>
      <c r="C39" s="10"/>
      <c r="D39" s="10"/>
      <c r="E39" s="10"/>
      <c r="F39" s="10">
        <v>3</v>
      </c>
      <c r="G39" s="11">
        <v>10334906000</v>
      </c>
      <c r="H39" s="10">
        <v>1</v>
      </c>
      <c r="I39" s="10" t="s">
        <v>151</v>
      </c>
      <c r="J39" s="10" t="s">
        <v>27</v>
      </c>
      <c r="K39" s="10"/>
      <c r="L39" s="9">
        <v>42</v>
      </c>
      <c r="M39" s="10">
        <v>53</v>
      </c>
      <c r="N39" s="9">
        <v>17.95</v>
      </c>
      <c r="O39" s="10">
        <f t="shared" si="9"/>
        <v>10334906000</v>
      </c>
      <c r="P39" s="10" t="s">
        <v>31</v>
      </c>
      <c r="Q39" s="10" t="s">
        <v>32</v>
      </c>
      <c r="R39" s="12"/>
      <c r="S39" s="16" t="s">
        <v>152</v>
      </c>
      <c r="T39" s="10" t="str">
        <f t="shared" si="10"/>
        <v>Messer Walther PPQ Knife,Accueil,Messer plus,Klappmesser,Airsoft,Walther</v>
      </c>
      <c r="U39" s="10" t="str">
        <f t="shared" si="11"/>
        <v>Messer Walther PPQ Knife</v>
      </c>
      <c r="V39" s="10" t="str">
        <f t="shared" si="16"/>
        <v>Messer Walther PPQ Knife,Accueil,Messer plus,Klappmesser,Airsoft,Walther</v>
      </c>
      <c r="W39" s="10">
        <v>1</v>
      </c>
      <c r="X39" s="10">
        <v>1</v>
      </c>
      <c r="Y39" s="10" t="str">
        <f t="shared" si="12"/>
        <v>http://usfh.ch/img/Messer/10334906000.jpg</v>
      </c>
      <c r="Z39" s="10">
        <f t="shared" si="13"/>
        <v>10334906000</v>
      </c>
      <c r="AA39" s="13">
        <f t="shared" si="14"/>
        <v>126</v>
      </c>
      <c r="AB39" s="13">
        <f t="shared" si="15"/>
        <v>53.849999999999994</v>
      </c>
      <c r="AC39" s="10">
        <v>0.5</v>
      </c>
    </row>
    <row r="40" spans="1:29" s="14" customFormat="1" ht="15" customHeight="1" x14ac:dyDescent="0.25">
      <c r="A40" s="10">
        <v>39</v>
      </c>
      <c r="B40" s="10"/>
      <c r="C40" s="10"/>
      <c r="D40" s="10"/>
      <c r="E40" s="10"/>
      <c r="F40" s="10">
        <v>0</v>
      </c>
      <c r="G40" s="11" t="s">
        <v>154</v>
      </c>
      <c r="H40" s="10">
        <v>1</v>
      </c>
      <c r="I40" s="10" t="s">
        <v>155</v>
      </c>
      <c r="J40" s="10" t="s">
        <v>27</v>
      </c>
      <c r="K40" s="10"/>
      <c r="L40" s="9">
        <v>689</v>
      </c>
      <c r="M40" s="10">
        <v>53</v>
      </c>
      <c r="N40" s="9">
        <v>432.45</v>
      </c>
      <c r="O40" s="10" t="str">
        <f t="shared" si="9"/>
        <v>110190DAM</v>
      </c>
      <c r="P40" s="10" t="s">
        <v>40</v>
      </c>
      <c r="Q40" s="10" t="s">
        <v>40</v>
      </c>
      <c r="R40" s="12">
        <v>4045011045622</v>
      </c>
      <c r="S40" s="16" t="s">
        <v>156</v>
      </c>
      <c r="T40" s="10" t="str">
        <f t="shared" si="10"/>
        <v>Tirpitz-Damast,Accueil,Messer plus,Klappmesser,Böker,Böker</v>
      </c>
      <c r="U40" s="10" t="str">
        <f t="shared" si="11"/>
        <v>Tirpitz-Damast</v>
      </c>
      <c r="V40" s="10" t="str">
        <f t="shared" si="16"/>
        <v>Tirpitz-Damast,Accueil,Messer plus,Klappmesser,Böker,Böker</v>
      </c>
      <c r="W40" s="10">
        <v>1</v>
      </c>
      <c r="X40" s="10">
        <v>1</v>
      </c>
      <c r="Y40" s="10" t="str">
        <f t="shared" si="12"/>
        <v>http://usfh.ch/img/Messer/110190DAM.jpg</v>
      </c>
      <c r="Z40" s="10" t="str">
        <f t="shared" si="13"/>
        <v>110190DAM</v>
      </c>
      <c r="AA40" s="13">
        <f t="shared" si="14"/>
        <v>0</v>
      </c>
      <c r="AB40" s="13">
        <f t="shared" si="15"/>
        <v>0</v>
      </c>
      <c r="AC40" s="10">
        <v>0.5</v>
      </c>
    </row>
    <row r="41" spans="1:29" s="14" customFormat="1" ht="15" customHeight="1" x14ac:dyDescent="0.25">
      <c r="A41" s="10">
        <v>40</v>
      </c>
      <c r="B41" s="10"/>
      <c r="C41" s="10"/>
      <c r="D41" s="10"/>
      <c r="E41" s="10"/>
      <c r="F41" s="10">
        <v>2</v>
      </c>
      <c r="G41" s="11" t="s">
        <v>157</v>
      </c>
      <c r="H41" s="10">
        <v>1</v>
      </c>
      <c r="I41" s="10" t="s">
        <v>806</v>
      </c>
      <c r="J41" s="10" t="s">
        <v>158</v>
      </c>
      <c r="K41" s="10"/>
      <c r="L41" s="9">
        <v>65</v>
      </c>
      <c r="M41" s="10">
        <v>53</v>
      </c>
      <c r="N41" s="9">
        <v>25</v>
      </c>
      <c r="O41" s="10" t="str">
        <f t="shared" si="9"/>
        <v>MA22PRFBL6</v>
      </c>
      <c r="P41" s="10" t="s">
        <v>159</v>
      </c>
      <c r="Q41" s="10" t="s">
        <v>160</v>
      </c>
      <c r="R41" s="12"/>
      <c r="S41" s="16" t="s">
        <v>161</v>
      </c>
      <c r="T41" s="10" t="str">
        <f t="shared" si="10"/>
        <v>Marttiini Filetiermesser braun BPPRFBL6,Accueil,Messer plus,Filetiermesser,Rapala-Fishco,Marttiini</v>
      </c>
      <c r="U41" s="10" t="str">
        <f t="shared" si="11"/>
        <v>Marttiini Filetiermesser braun BPPRFBL6</v>
      </c>
      <c r="V41" s="10" t="str">
        <f t="shared" si="16"/>
        <v>Marttiini Filetiermesser braun BPPRFBL6,Accueil,Messer plus,Filetiermesser,Rapala-Fishco,Marttiini</v>
      </c>
      <c r="W41" s="10">
        <v>1</v>
      </c>
      <c r="X41" s="10">
        <v>1</v>
      </c>
      <c r="Y41" s="10" t="str">
        <f t="shared" si="12"/>
        <v>http://usfh.ch/img/Messer/MA22PRFBL6.jpg</v>
      </c>
      <c r="Z41" s="10" t="str">
        <f t="shared" si="13"/>
        <v>MA22PRFBL6</v>
      </c>
      <c r="AA41" s="13">
        <f t="shared" si="14"/>
        <v>130</v>
      </c>
      <c r="AB41" s="13">
        <f t="shared" si="15"/>
        <v>50</v>
      </c>
      <c r="AC41" s="10">
        <v>0.5</v>
      </c>
    </row>
    <row r="42" spans="1:29" s="14" customFormat="1" ht="15" customHeight="1" x14ac:dyDescent="0.25">
      <c r="A42" s="10">
        <v>41</v>
      </c>
      <c r="B42" s="10"/>
      <c r="C42" s="10"/>
      <c r="D42" s="10"/>
      <c r="E42" s="10"/>
      <c r="F42" s="10">
        <v>2</v>
      </c>
      <c r="G42" s="11" t="s">
        <v>162</v>
      </c>
      <c r="H42" s="10">
        <v>1</v>
      </c>
      <c r="I42" s="10" t="s">
        <v>807</v>
      </c>
      <c r="J42" s="10" t="s">
        <v>158</v>
      </c>
      <c r="K42" s="10"/>
      <c r="L42" s="9">
        <v>55</v>
      </c>
      <c r="M42" s="10">
        <v>53</v>
      </c>
      <c r="N42" s="9">
        <v>26</v>
      </c>
      <c r="O42" s="10" t="str">
        <f t="shared" si="9"/>
        <v>MA22PRFGL6</v>
      </c>
      <c r="P42" s="10" t="s">
        <v>159</v>
      </c>
      <c r="Q42" s="10" t="s">
        <v>160</v>
      </c>
      <c r="R42" s="12"/>
      <c r="S42" s="16" t="s">
        <v>161</v>
      </c>
      <c r="T42" s="10" t="str">
        <f t="shared" si="10"/>
        <v>Marttiini Filetiermesser schwarz PRFGL6,Accueil,Messer plus,Filetiermesser,Rapala-Fishco,Marttiini</v>
      </c>
      <c r="U42" s="10" t="str">
        <f t="shared" si="11"/>
        <v>Marttiini Filetiermesser schwarz PRFGL6</v>
      </c>
      <c r="V42" s="10" t="str">
        <f t="shared" si="16"/>
        <v>Marttiini Filetiermesser schwarz PRFGL6,Accueil,Messer plus,Filetiermesser,Rapala-Fishco,Marttiini</v>
      </c>
      <c r="W42" s="10">
        <v>1</v>
      </c>
      <c r="X42" s="10">
        <v>1</v>
      </c>
      <c r="Y42" s="10" t="str">
        <f t="shared" si="12"/>
        <v>http://usfh.ch/img/Messer/MA22PRFGL6.jpg</v>
      </c>
      <c r="Z42" s="10" t="str">
        <f t="shared" si="13"/>
        <v>MA22PRFGL6</v>
      </c>
      <c r="AA42" s="13">
        <f t="shared" si="14"/>
        <v>110</v>
      </c>
      <c r="AB42" s="13">
        <f t="shared" si="15"/>
        <v>52</v>
      </c>
      <c r="AC42" s="10">
        <v>0.5</v>
      </c>
    </row>
    <row r="43" spans="1:29" s="14" customFormat="1" ht="15" customHeight="1" x14ac:dyDescent="0.25">
      <c r="A43" s="10">
        <v>42</v>
      </c>
      <c r="B43" s="10"/>
      <c r="C43" s="10"/>
      <c r="D43" s="10"/>
      <c r="E43" s="10"/>
      <c r="F43" s="10">
        <v>0</v>
      </c>
      <c r="G43" s="11" t="s">
        <v>164</v>
      </c>
      <c r="H43" s="10">
        <v>1</v>
      </c>
      <c r="I43" s="10" t="s">
        <v>165</v>
      </c>
      <c r="J43" s="10" t="s">
        <v>27</v>
      </c>
      <c r="K43" s="10"/>
      <c r="L43" s="9">
        <v>949</v>
      </c>
      <c r="M43" s="10">
        <v>53</v>
      </c>
      <c r="N43" s="9">
        <v>519.5</v>
      </c>
      <c r="O43" s="10" t="str">
        <f t="shared" si="9"/>
        <v>111621DAM</v>
      </c>
      <c r="P43" s="10" t="s">
        <v>40</v>
      </c>
      <c r="Q43" s="10" t="s">
        <v>40</v>
      </c>
      <c r="R43" s="12">
        <v>4045011112829</v>
      </c>
      <c r="S43" s="16" t="s">
        <v>166</v>
      </c>
      <c r="T43" s="10" t="str">
        <f t="shared" si="10"/>
        <v>Special Run Merlin Damast Meisterwerk,Accueil,Messer plus,Klappmesser,Böker,Böker</v>
      </c>
      <c r="U43" s="10" t="str">
        <f t="shared" si="11"/>
        <v>Special Run Merlin Damast Meisterwerk</v>
      </c>
      <c r="V43" s="10" t="str">
        <f t="shared" si="16"/>
        <v>Special Run Merlin Damast Meisterwerk,Accueil,Messer plus,Klappmesser,Böker,Böker</v>
      </c>
      <c r="W43" s="10">
        <v>1</v>
      </c>
      <c r="X43" s="10">
        <v>1</v>
      </c>
      <c r="Y43" s="10" t="str">
        <f t="shared" si="12"/>
        <v>http://usfh.ch/img/Messer/111621DAM.jpg</v>
      </c>
      <c r="Z43" s="10" t="str">
        <f t="shared" si="13"/>
        <v>111621DAM</v>
      </c>
      <c r="AA43" s="13">
        <f t="shared" si="14"/>
        <v>0</v>
      </c>
      <c r="AB43" s="13">
        <f t="shared" si="15"/>
        <v>0</v>
      </c>
      <c r="AC43" s="10">
        <v>0.5</v>
      </c>
    </row>
    <row r="44" spans="1:29" s="14" customFormat="1" ht="15" customHeight="1" x14ac:dyDescent="0.25">
      <c r="A44" s="10">
        <v>43</v>
      </c>
      <c r="B44" s="10"/>
      <c r="C44" s="10"/>
      <c r="D44" s="10"/>
      <c r="E44" s="10"/>
      <c r="F44" s="10">
        <v>0</v>
      </c>
      <c r="G44" s="11" t="s">
        <v>167</v>
      </c>
      <c r="H44" s="10">
        <v>1</v>
      </c>
      <c r="I44" s="10" t="s">
        <v>168</v>
      </c>
      <c r="J44" s="10" t="s">
        <v>27</v>
      </c>
      <c r="K44" s="10"/>
      <c r="L44" s="9">
        <v>711</v>
      </c>
      <c r="M44" s="10">
        <v>53</v>
      </c>
      <c r="N44" s="9">
        <v>369.1</v>
      </c>
      <c r="O44" s="10" t="str">
        <f t="shared" si="9"/>
        <v>110129DAM</v>
      </c>
      <c r="P44" s="10" t="s">
        <v>40</v>
      </c>
      <c r="Q44" s="10" t="s">
        <v>40</v>
      </c>
      <c r="R44" s="12">
        <v>4045011083068</v>
      </c>
      <c r="S44" s="16" t="s">
        <v>169</v>
      </c>
      <c r="T44" s="10" t="str">
        <f t="shared" si="10"/>
        <v>Leopard-Damast III 42,Accueil,Messer plus,Klappmesser,Böker,Böker</v>
      </c>
      <c r="U44" s="10" t="str">
        <f t="shared" si="11"/>
        <v>Leopard-Damast III 42</v>
      </c>
      <c r="V44" s="10" t="str">
        <f t="shared" si="16"/>
        <v>Leopard-Damast III 42,Accueil,Messer plus,Klappmesser,Böker,Böker</v>
      </c>
      <c r="W44" s="10">
        <v>1</v>
      </c>
      <c r="X44" s="10">
        <v>1</v>
      </c>
      <c r="Y44" s="10" t="str">
        <f t="shared" si="12"/>
        <v>http://usfh.ch/img/Messer/110129DAM.jpg</v>
      </c>
      <c r="Z44" s="10" t="str">
        <f t="shared" si="13"/>
        <v>110129DAM</v>
      </c>
      <c r="AA44" s="13">
        <f t="shared" si="14"/>
        <v>0</v>
      </c>
      <c r="AB44" s="13">
        <f t="shared" si="15"/>
        <v>0</v>
      </c>
      <c r="AC44" s="10">
        <v>0.5</v>
      </c>
    </row>
    <row r="45" spans="1:29" s="14" customFormat="1" ht="15" customHeight="1" x14ac:dyDescent="0.25">
      <c r="A45" s="10">
        <v>44</v>
      </c>
      <c r="B45" s="10"/>
      <c r="C45" s="10"/>
      <c r="D45" s="10"/>
      <c r="E45" s="10"/>
      <c r="F45" s="10">
        <v>2</v>
      </c>
      <c r="G45" s="11" t="s">
        <v>170</v>
      </c>
      <c r="H45" s="10">
        <v>1</v>
      </c>
      <c r="I45" s="10" t="s">
        <v>171</v>
      </c>
      <c r="J45" s="10" t="s">
        <v>27</v>
      </c>
      <c r="K45" s="10"/>
      <c r="L45" s="9">
        <v>59</v>
      </c>
      <c r="M45" s="10">
        <v>53</v>
      </c>
      <c r="N45" s="9">
        <v>15.8</v>
      </c>
      <c r="O45" s="10" t="str">
        <f t="shared" si="9"/>
        <v>01MB136</v>
      </c>
      <c r="P45" s="10" t="s">
        <v>40</v>
      </c>
      <c r="Q45" s="10" t="s">
        <v>41</v>
      </c>
      <c r="R45" s="12">
        <v>4045011055904</v>
      </c>
      <c r="S45" s="16" t="s">
        <v>172</v>
      </c>
      <c r="T45" s="10" t="str">
        <f t="shared" si="10"/>
        <v>Classic Hunter,Accueil,Messer plus,Klappmesser,Böker,Magnum</v>
      </c>
      <c r="U45" s="10" t="str">
        <f t="shared" si="11"/>
        <v>Classic Hunter</v>
      </c>
      <c r="V45" s="10" t="str">
        <f t="shared" si="16"/>
        <v>Classic Hunter,Accueil,Messer plus,Klappmesser,Böker,Magnum</v>
      </c>
      <c r="W45" s="10">
        <v>1</v>
      </c>
      <c r="X45" s="10">
        <v>1</v>
      </c>
      <c r="Y45" s="10" t="str">
        <f t="shared" si="12"/>
        <v>http://usfh.ch/img/Messer/01MB136.jpg</v>
      </c>
      <c r="Z45" s="10" t="str">
        <f t="shared" si="13"/>
        <v>01MB136</v>
      </c>
      <c r="AA45" s="13">
        <f t="shared" si="14"/>
        <v>118</v>
      </c>
      <c r="AB45" s="13">
        <f t="shared" si="15"/>
        <v>31.6</v>
      </c>
      <c r="AC45" s="10">
        <v>0.5</v>
      </c>
    </row>
    <row r="46" spans="1:29" s="14" customFormat="1" ht="15" customHeight="1" x14ac:dyDescent="0.25">
      <c r="A46" s="10">
        <v>45</v>
      </c>
      <c r="B46" s="10">
        <v>0</v>
      </c>
      <c r="C46" s="10">
        <v>1</v>
      </c>
      <c r="D46" s="10"/>
      <c r="E46" s="10"/>
      <c r="F46" s="10">
        <v>2</v>
      </c>
      <c r="G46" s="11">
        <v>10511306000</v>
      </c>
      <c r="H46" s="10">
        <v>1</v>
      </c>
      <c r="I46" s="10" t="s">
        <v>173</v>
      </c>
      <c r="J46" s="10" t="s">
        <v>27</v>
      </c>
      <c r="K46" s="10"/>
      <c r="L46" s="9">
        <v>49</v>
      </c>
      <c r="M46" s="10">
        <v>53</v>
      </c>
      <c r="N46" s="9">
        <v>23.95</v>
      </c>
      <c r="O46" s="10">
        <f t="shared" si="9"/>
        <v>10511306000</v>
      </c>
      <c r="P46" s="10" t="s">
        <v>31</v>
      </c>
      <c r="Q46" s="10" t="s">
        <v>32</v>
      </c>
      <c r="R46" s="12"/>
      <c r="S46" s="16" t="s">
        <v>174</v>
      </c>
      <c r="T46" s="10" t="str">
        <f t="shared" si="10"/>
        <v>OSK II Folder,Accueil,Messer plus,Klappmesser,Airsoft,Walther</v>
      </c>
      <c r="U46" s="10" t="str">
        <f t="shared" si="11"/>
        <v>OSK II Folder</v>
      </c>
      <c r="V46" s="10" t="str">
        <f t="shared" si="16"/>
        <v>OSK II Folder,Accueil,Messer plus,Klappmesser,Airsoft,Walther</v>
      </c>
      <c r="W46" s="10">
        <v>1</v>
      </c>
      <c r="X46" s="10">
        <v>1</v>
      </c>
      <c r="Y46" s="10" t="str">
        <f t="shared" si="12"/>
        <v>http://usfh.ch/img/Messer/10511306000.jpg</v>
      </c>
      <c r="Z46" s="10">
        <f t="shared" si="13"/>
        <v>10511306000</v>
      </c>
      <c r="AA46" s="13">
        <f t="shared" si="14"/>
        <v>98</v>
      </c>
      <c r="AB46" s="13">
        <f t="shared" si="15"/>
        <v>47.9</v>
      </c>
      <c r="AC46" s="10">
        <v>0.5</v>
      </c>
    </row>
    <row r="47" spans="1:29" s="14" customFormat="1" ht="15" customHeight="1" x14ac:dyDescent="0.25">
      <c r="A47" s="10">
        <v>46</v>
      </c>
      <c r="B47" s="10"/>
      <c r="C47" s="10"/>
      <c r="D47" s="10"/>
      <c r="E47" s="10"/>
      <c r="F47" s="10">
        <v>2</v>
      </c>
      <c r="G47" s="11" t="s">
        <v>175</v>
      </c>
      <c r="H47" s="10">
        <v>1</v>
      </c>
      <c r="I47" s="10" t="s">
        <v>176</v>
      </c>
      <c r="J47" s="10" t="s">
        <v>177</v>
      </c>
      <c r="K47" s="10"/>
      <c r="L47" s="9">
        <v>39</v>
      </c>
      <c r="M47" s="10">
        <v>53</v>
      </c>
      <c r="N47" s="9">
        <v>18</v>
      </c>
      <c r="O47" s="10" t="str">
        <f t="shared" si="9"/>
        <v>09BO803</v>
      </c>
      <c r="P47" s="10" t="s">
        <v>40</v>
      </c>
      <c r="Q47" s="10" t="s">
        <v>40</v>
      </c>
      <c r="R47" s="12">
        <v>4045011085833</v>
      </c>
      <c r="S47" s="16" t="s">
        <v>178</v>
      </c>
      <c r="T47" s="10" t="str">
        <f t="shared" si="10"/>
        <v>Böker Plus FC-3,Taschenlampe,Böker,Böker</v>
      </c>
      <c r="U47" s="10" t="str">
        <f t="shared" si="11"/>
        <v>Böker Plus FC-3</v>
      </c>
      <c r="V47" s="10" t="str">
        <f t="shared" si="16"/>
        <v>Böker Plus FC-3,Taschenlampe,Böker,Böker</v>
      </c>
      <c r="W47" s="10">
        <v>0</v>
      </c>
      <c r="X47" s="10">
        <v>1</v>
      </c>
      <c r="Y47" s="10" t="str">
        <f t="shared" si="12"/>
        <v>http://usfh.ch/img/Messer/09BO803.jpg</v>
      </c>
      <c r="Z47" s="10" t="str">
        <f t="shared" si="13"/>
        <v>09BO803</v>
      </c>
      <c r="AA47" s="13">
        <f t="shared" si="14"/>
        <v>78</v>
      </c>
      <c r="AB47" s="13">
        <f t="shared" si="15"/>
        <v>36</v>
      </c>
      <c r="AC47" s="10">
        <v>0.5</v>
      </c>
    </row>
    <row r="48" spans="1:29" s="14" customFormat="1" ht="15" customHeight="1" x14ac:dyDescent="0.25">
      <c r="A48" s="10">
        <v>47</v>
      </c>
      <c r="B48" s="10"/>
      <c r="C48" s="10"/>
      <c r="D48" s="10"/>
      <c r="E48" s="10"/>
      <c r="F48" s="10">
        <v>1</v>
      </c>
      <c r="G48" s="11" t="s">
        <v>105</v>
      </c>
      <c r="H48" s="10">
        <v>1</v>
      </c>
      <c r="I48" s="10" t="s">
        <v>179</v>
      </c>
      <c r="J48" s="10" t="s">
        <v>27</v>
      </c>
      <c r="K48" s="10"/>
      <c r="L48" s="9">
        <v>88</v>
      </c>
      <c r="M48" s="10">
        <v>53</v>
      </c>
      <c r="N48" s="9">
        <v>39.200000000000003</v>
      </c>
      <c r="O48" s="10" t="str">
        <f t="shared" si="9"/>
        <v>01MB550DAM</v>
      </c>
      <c r="P48" s="10" t="s">
        <v>40</v>
      </c>
      <c r="Q48" s="10" t="s">
        <v>41</v>
      </c>
      <c r="R48" s="12">
        <v>4045011071850</v>
      </c>
      <c r="S48" s="16" t="s">
        <v>106</v>
      </c>
      <c r="T48" s="10" t="str">
        <f t="shared" si="10"/>
        <v>Damascus Quincewood,Accueil,Messer plus,Klappmesser,Böker,Magnum</v>
      </c>
      <c r="U48" s="10" t="str">
        <f t="shared" si="11"/>
        <v>Damascus Quincewood</v>
      </c>
      <c r="V48" s="10" t="str">
        <f t="shared" si="16"/>
        <v>Damascus Quincewood,Accueil,Messer plus,Klappmesser,Böker,Magnum</v>
      </c>
      <c r="W48" s="10">
        <v>1</v>
      </c>
      <c r="X48" s="10">
        <v>1</v>
      </c>
      <c r="Y48" s="10" t="str">
        <f t="shared" si="12"/>
        <v>http://usfh.ch/img/Messer/01MB550DAM.jpg</v>
      </c>
      <c r="Z48" s="10" t="str">
        <f t="shared" si="13"/>
        <v>01MB550DAM</v>
      </c>
      <c r="AA48" s="13">
        <f t="shared" si="14"/>
        <v>88</v>
      </c>
      <c r="AB48" s="13">
        <f t="shared" si="15"/>
        <v>39.200000000000003</v>
      </c>
      <c r="AC48" s="10">
        <v>0.5</v>
      </c>
    </row>
    <row r="49" spans="1:29" s="14" customFormat="1" ht="15" customHeight="1" x14ac:dyDescent="0.25">
      <c r="A49" s="10">
        <v>48</v>
      </c>
      <c r="B49" s="10"/>
      <c r="C49" s="10"/>
      <c r="D49" s="10"/>
      <c r="E49" s="10"/>
      <c r="F49" s="10">
        <v>2</v>
      </c>
      <c r="G49" s="11">
        <v>11435</v>
      </c>
      <c r="H49" s="10">
        <v>1</v>
      </c>
      <c r="I49" s="10" t="s">
        <v>180</v>
      </c>
      <c r="J49" s="10" t="s">
        <v>30</v>
      </c>
      <c r="K49" s="10"/>
      <c r="L49" s="9">
        <v>59</v>
      </c>
      <c r="M49" s="10">
        <v>53</v>
      </c>
      <c r="N49" s="9">
        <v>28.45</v>
      </c>
      <c r="O49" s="10">
        <f t="shared" si="9"/>
        <v>11435</v>
      </c>
      <c r="P49" s="10" t="s">
        <v>31</v>
      </c>
      <c r="Q49" s="10" t="s">
        <v>181</v>
      </c>
      <c r="R49" s="12"/>
      <c r="S49" s="16" t="s">
        <v>182</v>
      </c>
      <c r="T49" s="10" t="str">
        <f t="shared" si="10"/>
        <v>Karambit,Accueil,Messer plus,feste Klinge,Airsoft,Claw Gear</v>
      </c>
      <c r="U49" s="10" t="str">
        <f t="shared" si="11"/>
        <v>Karambit</v>
      </c>
      <c r="V49" s="10" t="str">
        <f t="shared" si="16"/>
        <v>Karambit,Accueil,Messer plus,feste Klinge,Airsoft,Claw Gear</v>
      </c>
      <c r="W49" s="10">
        <v>1</v>
      </c>
      <c r="X49" s="10">
        <v>1</v>
      </c>
      <c r="Y49" s="10" t="str">
        <f t="shared" si="12"/>
        <v>http://usfh.ch/img/Messer/11435.jpg</v>
      </c>
      <c r="Z49" s="10">
        <f t="shared" si="13"/>
        <v>11435</v>
      </c>
      <c r="AA49" s="13">
        <f t="shared" si="14"/>
        <v>118</v>
      </c>
      <c r="AB49" s="13">
        <f t="shared" si="15"/>
        <v>56.9</v>
      </c>
      <c r="AC49" s="10">
        <v>0.5</v>
      </c>
    </row>
    <row r="50" spans="1:29" s="14" customFormat="1" ht="15" customHeight="1" x14ac:dyDescent="0.25">
      <c r="A50" s="10">
        <v>49</v>
      </c>
      <c r="B50" s="10"/>
      <c r="C50" s="10"/>
      <c r="D50" s="10"/>
      <c r="E50" s="10"/>
      <c r="F50" s="10">
        <v>0</v>
      </c>
      <c r="G50" s="11" t="s">
        <v>183</v>
      </c>
      <c r="H50" s="10">
        <v>1</v>
      </c>
      <c r="I50" s="10" t="s">
        <v>184</v>
      </c>
      <c r="J50" s="10" t="s">
        <v>27</v>
      </c>
      <c r="K50" s="10"/>
      <c r="L50" s="9">
        <v>830</v>
      </c>
      <c r="M50" s="10">
        <v>53</v>
      </c>
      <c r="N50" s="9">
        <v>432.4</v>
      </c>
      <c r="O50" s="10" t="str">
        <f t="shared" si="9"/>
        <v>110239DAM</v>
      </c>
      <c r="P50" s="10" t="s">
        <v>40</v>
      </c>
      <c r="Q50" s="10" t="s">
        <v>40</v>
      </c>
      <c r="R50" s="12">
        <v>4045011112461</v>
      </c>
      <c r="S50" s="16" t="s">
        <v>185</v>
      </c>
      <c r="T50" s="10" t="str">
        <f t="shared" si="10"/>
        <v>Leopard-Damast III 42 Collection,Accueil,Messer plus,Klappmesser,Böker,Böker</v>
      </c>
      <c r="U50" s="10" t="str">
        <f t="shared" si="11"/>
        <v>Leopard-Damast III 42 Collection</v>
      </c>
      <c r="V50" s="10" t="str">
        <f t="shared" si="16"/>
        <v>Leopard-Damast III 42 Collection,Accueil,Messer plus,Klappmesser,Böker,Böker</v>
      </c>
      <c r="W50" s="10">
        <v>1</v>
      </c>
      <c r="X50" s="10">
        <v>1</v>
      </c>
      <c r="Y50" s="10" t="str">
        <f t="shared" si="12"/>
        <v>http://usfh.ch/img/Messer/110239DAM.jpg</v>
      </c>
      <c r="Z50" s="10" t="str">
        <f t="shared" si="13"/>
        <v>110239DAM</v>
      </c>
      <c r="AA50" s="13">
        <f t="shared" si="14"/>
        <v>0</v>
      </c>
      <c r="AB50" s="13">
        <f t="shared" si="15"/>
        <v>0</v>
      </c>
      <c r="AC50" s="10">
        <v>0.5</v>
      </c>
    </row>
    <row r="51" spans="1:29" s="14" customFormat="1" ht="15" customHeight="1" x14ac:dyDescent="0.25">
      <c r="A51" s="10">
        <v>50</v>
      </c>
      <c r="B51" s="10">
        <v>1</v>
      </c>
      <c r="C51" s="10"/>
      <c r="D51" s="10"/>
      <c r="E51" s="10"/>
      <c r="F51" s="10">
        <v>1</v>
      </c>
      <c r="G51" s="15" t="s">
        <v>186</v>
      </c>
      <c r="H51" s="10">
        <v>1</v>
      </c>
      <c r="I51" s="10" t="s">
        <v>187</v>
      </c>
      <c r="J51" s="10" t="s">
        <v>30</v>
      </c>
      <c r="K51" s="10"/>
      <c r="L51" s="9">
        <v>35</v>
      </c>
      <c r="M51" s="10">
        <v>53</v>
      </c>
      <c r="N51" s="9">
        <v>9.75</v>
      </c>
      <c r="O51" s="10" t="str">
        <f t="shared" si="9"/>
        <v>02MB210</v>
      </c>
      <c r="P51" s="10" t="s">
        <v>40</v>
      </c>
      <c r="Q51" s="10" t="s">
        <v>41</v>
      </c>
      <c r="R51" s="12">
        <v>4045011041884</v>
      </c>
      <c r="S51" s="16" t="s">
        <v>188</v>
      </c>
      <c r="T51" s="10" t="str">
        <f t="shared" si="10"/>
        <v>Neck Flash,Accueil,Messer plus,feste Klinge,Böker,Magnum</v>
      </c>
      <c r="U51" s="10" t="str">
        <f t="shared" si="11"/>
        <v>Neck Flash</v>
      </c>
      <c r="V51" s="10" t="str">
        <f t="shared" ref="V51:V66" si="17">T51</f>
        <v>Neck Flash,Accueil,Messer plus,feste Klinge,Böker,Magnum</v>
      </c>
      <c r="W51" s="10">
        <v>1</v>
      </c>
      <c r="X51" s="10">
        <v>1</v>
      </c>
      <c r="Y51" s="10" t="str">
        <f t="shared" si="12"/>
        <v>http://usfh.ch/img/Messer/02MB210.jpg</v>
      </c>
      <c r="Z51" s="10" t="str">
        <f t="shared" si="13"/>
        <v>02MB210</v>
      </c>
      <c r="AA51" s="13">
        <f t="shared" si="14"/>
        <v>35</v>
      </c>
      <c r="AB51" s="13">
        <f t="shared" si="15"/>
        <v>9.75</v>
      </c>
      <c r="AC51" s="10">
        <v>0.5</v>
      </c>
    </row>
    <row r="52" spans="1:29" s="14" customFormat="1" ht="15" customHeight="1" x14ac:dyDescent="0.25">
      <c r="A52" s="10">
        <v>51</v>
      </c>
      <c r="B52" s="10">
        <v>1</v>
      </c>
      <c r="C52" s="10"/>
      <c r="D52" s="10"/>
      <c r="E52" s="10"/>
      <c r="F52" s="10">
        <v>3</v>
      </c>
      <c r="G52" s="11" t="s">
        <v>189</v>
      </c>
      <c r="H52" s="10">
        <v>1</v>
      </c>
      <c r="I52" s="10" t="s">
        <v>190</v>
      </c>
      <c r="J52" s="10" t="s">
        <v>30</v>
      </c>
      <c r="K52" s="10"/>
      <c r="L52" s="9">
        <v>57</v>
      </c>
      <c r="M52" s="10">
        <v>53</v>
      </c>
      <c r="N52" s="9">
        <v>23.4</v>
      </c>
      <c r="O52" s="10" t="str">
        <f t="shared" si="9"/>
        <v>02LG113</v>
      </c>
      <c r="P52" s="10" t="s">
        <v>40</v>
      </c>
      <c r="Q52" s="10" t="s">
        <v>41</v>
      </c>
      <c r="R52" s="12">
        <v>4045011110030</v>
      </c>
      <c r="S52" s="16" t="s">
        <v>191</v>
      </c>
      <c r="T52" s="10" t="str">
        <f t="shared" si="10"/>
        <v>Lil Giant,Accueil,Messer plus,feste Klinge,Böker,Magnum</v>
      </c>
      <c r="U52" s="10" t="str">
        <f t="shared" si="11"/>
        <v>Lil Giant</v>
      </c>
      <c r="V52" s="10" t="str">
        <f t="shared" si="17"/>
        <v>Lil Giant,Accueil,Messer plus,feste Klinge,Böker,Magnum</v>
      </c>
      <c r="W52" s="10">
        <v>1</v>
      </c>
      <c r="X52" s="10">
        <v>1</v>
      </c>
      <c r="Y52" s="10" t="str">
        <f t="shared" si="12"/>
        <v>http://usfh.ch/img/Messer/02LG113.jpg</v>
      </c>
      <c r="Z52" s="10" t="str">
        <f t="shared" si="13"/>
        <v>02LG113</v>
      </c>
      <c r="AA52" s="13">
        <f t="shared" si="14"/>
        <v>171</v>
      </c>
      <c r="AB52" s="13">
        <f t="shared" si="15"/>
        <v>70.199999999999989</v>
      </c>
      <c r="AC52" s="10">
        <v>0.5</v>
      </c>
    </row>
    <row r="53" spans="1:29" s="14" customFormat="1" ht="15" customHeight="1" x14ac:dyDescent="0.25">
      <c r="A53" s="10">
        <v>52</v>
      </c>
      <c r="B53" s="10"/>
      <c r="C53" s="10"/>
      <c r="D53" s="10"/>
      <c r="E53" s="10"/>
      <c r="F53" s="10">
        <v>1</v>
      </c>
      <c r="G53" s="11" t="s">
        <v>192</v>
      </c>
      <c r="H53" s="10">
        <v>1</v>
      </c>
      <c r="I53" s="10" t="s">
        <v>193</v>
      </c>
      <c r="J53" s="10" t="s">
        <v>30</v>
      </c>
      <c r="K53" s="10"/>
      <c r="L53" s="9">
        <v>89</v>
      </c>
      <c r="M53" s="10">
        <v>53</v>
      </c>
      <c r="N53" s="9">
        <v>37.200000000000003</v>
      </c>
      <c r="O53" s="10" t="str">
        <f t="shared" si="9"/>
        <v>02KAL10</v>
      </c>
      <c r="P53" s="10" t="s">
        <v>40</v>
      </c>
      <c r="Q53" s="10" t="s">
        <v>40</v>
      </c>
      <c r="R53" s="12">
        <v>4045011064715</v>
      </c>
      <c r="S53" s="16" t="s">
        <v>194</v>
      </c>
      <c r="T53" s="10" t="str">
        <f t="shared" si="10"/>
        <v>AK-10 Fixed Blade,Accueil,Messer plus,feste Klinge,Böker,Böker</v>
      </c>
      <c r="U53" s="10" t="str">
        <f t="shared" si="11"/>
        <v>AK-10 Fixed Blade</v>
      </c>
      <c r="V53" s="10" t="str">
        <f t="shared" si="17"/>
        <v>AK-10 Fixed Blade,Accueil,Messer plus,feste Klinge,Böker,Böker</v>
      </c>
      <c r="W53" s="10">
        <v>1</v>
      </c>
      <c r="X53" s="10">
        <v>1</v>
      </c>
      <c r="Y53" s="10" t="str">
        <f t="shared" si="12"/>
        <v>http://usfh.ch/img/Messer/02KAL10.jpg</v>
      </c>
      <c r="Z53" s="10" t="str">
        <f t="shared" si="13"/>
        <v>02KAL10</v>
      </c>
      <c r="AA53" s="13">
        <f t="shared" si="14"/>
        <v>89</v>
      </c>
      <c r="AB53" s="13">
        <f t="shared" si="15"/>
        <v>37.200000000000003</v>
      </c>
      <c r="AC53" s="10">
        <v>0.5</v>
      </c>
    </row>
    <row r="54" spans="1:29" s="14" customFormat="1" ht="15" customHeight="1" x14ac:dyDescent="0.25">
      <c r="A54" s="10">
        <v>53</v>
      </c>
      <c r="B54" s="10"/>
      <c r="C54" s="10"/>
      <c r="D54" s="10"/>
      <c r="E54" s="10"/>
      <c r="F54" s="10">
        <v>2</v>
      </c>
      <c r="G54" s="11" t="s">
        <v>195</v>
      </c>
      <c r="H54" s="10">
        <v>1</v>
      </c>
      <c r="I54" s="10" t="s">
        <v>196</v>
      </c>
      <c r="J54" s="10" t="s">
        <v>197</v>
      </c>
      <c r="K54" s="10"/>
      <c r="L54" s="9">
        <v>112</v>
      </c>
      <c r="M54" s="10">
        <v>53</v>
      </c>
      <c r="N54" s="9">
        <v>56.22</v>
      </c>
      <c r="O54" s="10" t="str">
        <f t="shared" si="9"/>
        <v>09SR001</v>
      </c>
      <c r="P54" s="10" t="s">
        <v>40</v>
      </c>
      <c r="Q54" s="10" t="s">
        <v>198</v>
      </c>
      <c r="R54" s="12">
        <v>4045011042515</v>
      </c>
      <c r="S54" s="16" t="s">
        <v>199</v>
      </c>
      <c r="T54" s="10" t="str">
        <f t="shared" si="10"/>
        <v>Long Life 20,Accueil,Messer plus,Messerschärfer,Böker,Sieger</v>
      </c>
      <c r="U54" s="10" t="str">
        <f t="shared" si="11"/>
        <v>Long Life 20</v>
      </c>
      <c r="V54" s="10" t="str">
        <f t="shared" si="17"/>
        <v>Long Life 20,Accueil,Messer plus,Messerschärfer,Böker,Sieger</v>
      </c>
      <c r="W54" s="10">
        <v>1</v>
      </c>
      <c r="X54" s="10">
        <v>1</v>
      </c>
      <c r="Y54" s="10" t="str">
        <f t="shared" si="12"/>
        <v>http://usfh.ch/img/Messer/09SR001.jpg</v>
      </c>
      <c r="Z54" s="10" t="str">
        <f t="shared" si="13"/>
        <v>09SR001</v>
      </c>
      <c r="AA54" s="13">
        <f t="shared" si="14"/>
        <v>224</v>
      </c>
      <c r="AB54" s="13">
        <f t="shared" si="15"/>
        <v>112.44</v>
      </c>
      <c r="AC54" s="10">
        <v>0.5</v>
      </c>
    </row>
    <row r="55" spans="1:29" s="14" customFormat="1" ht="15" customHeight="1" x14ac:dyDescent="0.25">
      <c r="A55" s="10">
        <v>54</v>
      </c>
      <c r="B55" s="10"/>
      <c r="C55" s="10"/>
      <c r="D55" s="10"/>
      <c r="E55" s="10"/>
      <c r="F55" s="10">
        <v>1</v>
      </c>
      <c r="G55" s="11" t="s">
        <v>200</v>
      </c>
      <c r="H55" s="10">
        <v>1</v>
      </c>
      <c r="I55" s="10" t="s">
        <v>201</v>
      </c>
      <c r="J55" s="10" t="s">
        <v>27</v>
      </c>
      <c r="K55" s="10"/>
      <c r="L55" s="9">
        <v>109</v>
      </c>
      <c r="M55" s="10">
        <v>53</v>
      </c>
      <c r="N55" s="9">
        <v>50.25</v>
      </c>
      <c r="O55" s="10" t="str">
        <f t="shared" si="9"/>
        <v>01MB790DAM</v>
      </c>
      <c r="P55" s="10" t="s">
        <v>40</v>
      </c>
      <c r="Q55" s="10" t="s">
        <v>41</v>
      </c>
      <c r="R55" s="12">
        <v>4045011045400</v>
      </c>
      <c r="S55" s="16" t="s">
        <v>202</v>
      </c>
      <c r="T55" s="10" t="str">
        <f t="shared" si="10"/>
        <v>Damascus Lord,Accueil,Messer plus,Klappmesser,Böker,Magnum</v>
      </c>
      <c r="U55" s="10" t="str">
        <f t="shared" si="11"/>
        <v>Damascus Lord</v>
      </c>
      <c r="V55" s="10" t="str">
        <f t="shared" si="17"/>
        <v>Damascus Lord,Accueil,Messer plus,Klappmesser,Böker,Magnum</v>
      </c>
      <c r="W55" s="10">
        <v>1</v>
      </c>
      <c r="X55" s="10">
        <v>1</v>
      </c>
      <c r="Y55" s="10" t="str">
        <f t="shared" si="12"/>
        <v>http://usfh.ch/img/Messer/01MB790DAM.jpg</v>
      </c>
      <c r="Z55" s="10" t="str">
        <f t="shared" si="13"/>
        <v>01MB790DAM</v>
      </c>
      <c r="AA55" s="13">
        <f t="shared" si="14"/>
        <v>109</v>
      </c>
      <c r="AB55" s="13">
        <f t="shared" si="15"/>
        <v>50.25</v>
      </c>
      <c r="AC55" s="10">
        <v>0.5</v>
      </c>
    </row>
    <row r="56" spans="1:29" s="14" customFormat="1" ht="15" customHeight="1" x14ac:dyDescent="0.25">
      <c r="A56" s="10">
        <v>55</v>
      </c>
      <c r="B56" s="10"/>
      <c r="C56" s="10"/>
      <c r="D56" s="10"/>
      <c r="E56" s="10"/>
      <c r="F56" s="10">
        <v>2</v>
      </c>
      <c r="G56" s="11" t="s">
        <v>203</v>
      </c>
      <c r="H56" s="10">
        <v>1</v>
      </c>
      <c r="I56" s="10" t="s">
        <v>204</v>
      </c>
      <c r="J56" s="10" t="s">
        <v>30</v>
      </c>
      <c r="K56" s="10"/>
      <c r="L56" s="9">
        <v>162</v>
      </c>
      <c r="M56" s="10">
        <v>53</v>
      </c>
      <c r="N56" s="9">
        <v>74.849999999999994</v>
      </c>
      <c r="O56" s="10" t="str">
        <f t="shared" si="9"/>
        <v>02MU017</v>
      </c>
      <c r="P56" s="10" t="s">
        <v>40</v>
      </c>
      <c r="Q56" s="10" t="s">
        <v>96</v>
      </c>
      <c r="R56" s="12">
        <v>4045011073793</v>
      </c>
      <c r="S56" s="16" t="s">
        <v>205</v>
      </c>
      <c r="T56" s="10" t="str">
        <f t="shared" si="10"/>
        <v>Hirschfänger Chevreuil,Accueil,Messer plus,feste Klinge,Böker,Muela</v>
      </c>
      <c r="U56" s="10" t="str">
        <f t="shared" si="11"/>
        <v>Hirschfänger Chevreuil</v>
      </c>
      <c r="V56" s="10" t="str">
        <f t="shared" si="17"/>
        <v>Hirschfänger Chevreuil,Accueil,Messer plus,feste Klinge,Böker,Muela</v>
      </c>
      <c r="W56" s="10">
        <v>1</v>
      </c>
      <c r="X56" s="10">
        <v>1</v>
      </c>
      <c r="Y56" s="10" t="str">
        <f t="shared" si="12"/>
        <v>http://usfh.ch/img/Messer/02MU017.jpg</v>
      </c>
      <c r="Z56" s="10" t="str">
        <f t="shared" si="13"/>
        <v>02MU017</v>
      </c>
      <c r="AA56" s="13">
        <f t="shared" si="14"/>
        <v>324</v>
      </c>
      <c r="AB56" s="13">
        <f t="shared" si="15"/>
        <v>149.69999999999999</v>
      </c>
      <c r="AC56" s="10">
        <v>0.5</v>
      </c>
    </row>
    <row r="57" spans="1:29" s="14" customFormat="1" ht="15" customHeight="1" x14ac:dyDescent="0.25">
      <c r="A57" s="10">
        <v>56</v>
      </c>
      <c r="B57" s="10"/>
      <c r="C57" s="10"/>
      <c r="D57" s="10"/>
      <c r="E57" s="10"/>
      <c r="F57" s="10">
        <v>1</v>
      </c>
      <c r="G57" s="11">
        <v>80445</v>
      </c>
      <c r="H57" s="10">
        <v>1</v>
      </c>
      <c r="I57" s="10" t="s">
        <v>206</v>
      </c>
      <c r="J57" s="10" t="s">
        <v>30</v>
      </c>
      <c r="K57" s="10"/>
      <c r="L57" s="9">
        <v>35</v>
      </c>
      <c r="M57" s="10">
        <v>53</v>
      </c>
      <c r="N57" s="9">
        <v>11.8</v>
      </c>
      <c r="O57" s="10">
        <f t="shared" si="9"/>
        <v>80445</v>
      </c>
      <c r="P57" s="10" t="s">
        <v>44</v>
      </c>
      <c r="Q57" s="10" t="s">
        <v>44</v>
      </c>
      <c r="R57" s="12">
        <v>4050346804455</v>
      </c>
      <c r="S57" s="16" t="s">
        <v>207</v>
      </c>
      <c r="T57" s="10" t="str">
        <f t="shared" si="10"/>
        <v>Karambit Neck Knife,Accueil,Messer plus,feste Klinge,Haller,Haller</v>
      </c>
      <c r="U57" s="10" t="str">
        <f t="shared" si="11"/>
        <v>Karambit Neck Knife</v>
      </c>
      <c r="V57" s="10" t="str">
        <f t="shared" si="17"/>
        <v>Karambit Neck Knife,Accueil,Messer plus,feste Klinge,Haller,Haller</v>
      </c>
      <c r="W57" s="10">
        <v>1</v>
      </c>
      <c r="X57" s="10">
        <v>1</v>
      </c>
      <c r="Y57" s="10" t="str">
        <f t="shared" si="12"/>
        <v>http://usfh.ch/img/Messer/80445.jpg</v>
      </c>
      <c r="Z57" s="10">
        <f t="shared" si="13"/>
        <v>80445</v>
      </c>
      <c r="AA57" s="13">
        <f t="shared" si="14"/>
        <v>35</v>
      </c>
      <c r="AB57" s="13">
        <f t="shared" si="15"/>
        <v>11.8</v>
      </c>
      <c r="AC57" s="10">
        <v>0.5</v>
      </c>
    </row>
    <row r="58" spans="1:29" s="14" customFormat="1" ht="15" customHeight="1" x14ac:dyDescent="0.25">
      <c r="A58" s="10">
        <v>57</v>
      </c>
      <c r="B58" s="10">
        <v>1</v>
      </c>
      <c r="C58" s="10"/>
      <c r="D58" s="10"/>
      <c r="E58" s="10"/>
      <c r="F58" s="10">
        <v>2</v>
      </c>
      <c r="G58" s="11">
        <v>88213</v>
      </c>
      <c r="H58" s="10">
        <v>1</v>
      </c>
      <c r="I58" s="10" t="s">
        <v>208</v>
      </c>
      <c r="J58" s="10" t="s">
        <v>30</v>
      </c>
      <c r="K58" s="10"/>
      <c r="L58" s="9">
        <v>72</v>
      </c>
      <c r="M58" s="10">
        <v>53</v>
      </c>
      <c r="N58" s="9">
        <v>35.6</v>
      </c>
      <c r="O58" s="10">
        <f t="shared" si="9"/>
        <v>88213</v>
      </c>
      <c r="P58" s="10" t="s">
        <v>44</v>
      </c>
      <c r="Q58" s="10" t="s">
        <v>209</v>
      </c>
      <c r="R58" s="12">
        <v>4050346882132</v>
      </c>
      <c r="S58" s="16" t="s">
        <v>210</v>
      </c>
      <c r="T58" s="10" t="str">
        <f t="shared" si="10"/>
        <v>Blackfield Raptor,Accueil,Messer plus,feste Klinge,Haller,Blackfield</v>
      </c>
      <c r="U58" s="10" t="str">
        <f t="shared" si="11"/>
        <v>Blackfield Raptor</v>
      </c>
      <c r="V58" s="10" t="str">
        <f t="shared" si="17"/>
        <v>Blackfield Raptor,Accueil,Messer plus,feste Klinge,Haller,Blackfield</v>
      </c>
      <c r="W58" s="10">
        <v>1</v>
      </c>
      <c r="X58" s="10">
        <v>1</v>
      </c>
      <c r="Y58" s="10" t="str">
        <f t="shared" si="12"/>
        <v>http://usfh.ch/img/Messer/88213.jpg</v>
      </c>
      <c r="Z58" s="10">
        <f t="shared" si="13"/>
        <v>88213</v>
      </c>
      <c r="AA58" s="13">
        <f t="shared" si="14"/>
        <v>144</v>
      </c>
      <c r="AB58" s="13">
        <f t="shared" si="15"/>
        <v>71.2</v>
      </c>
      <c r="AC58" s="10">
        <v>0.5</v>
      </c>
    </row>
    <row r="59" spans="1:29" s="14" customFormat="1" ht="15" customHeight="1" x14ac:dyDescent="0.25">
      <c r="A59" s="10">
        <v>58</v>
      </c>
      <c r="B59" s="10"/>
      <c r="C59" s="10"/>
      <c r="D59" s="10"/>
      <c r="E59" s="10"/>
      <c r="F59" s="10">
        <v>1</v>
      </c>
      <c r="G59" s="11" t="s">
        <v>212</v>
      </c>
      <c r="H59" s="10">
        <v>1</v>
      </c>
      <c r="I59" s="10" t="s">
        <v>213</v>
      </c>
      <c r="J59" s="10" t="s">
        <v>30</v>
      </c>
      <c r="K59" s="10"/>
      <c r="L59" s="9">
        <v>115</v>
      </c>
      <c r="M59" s="10">
        <v>53</v>
      </c>
      <c r="N59" s="9">
        <v>33.200000000000003</v>
      </c>
      <c r="O59" s="10" t="str">
        <f t="shared" si="9"/>
        <v>02SC110</v>
      </c>
      <c r="P59" s="10" t="s">
        <v>40</v>
      </c>
      <c r="Q59" s="10" t="s">
        <v>41</v>
      </c>
      <c r="R59" s="12">
        <v>4045011128066</v>
      </c>
      <c r="S59" s="16" t="s">
        <v>214</v>
      </c>
      <c r="T59" s="10" t="str">
        <f t="shared" si="10"/>
        <v>Sierra Mike,Accueil,Messer plus,feste Klinge,Böker,Magnum</v>
      </c>
      <c r="U59" s="10" t="str">
        <f t="shared" si="11"/>
        <v>Sierra Mike</v>
      </c>
      <c r="V59" s="10" t="str">
        <f t="shared" si="17"/>
        <v>Sierra Mike,Accueil,Messer plus,feste Klinge,Böker,Magnum</v>
      </c>
      <c r="W59" s="10">
        <v>1</v>
      </c>
      <c r="X59" s="10">
        <v>1</v>
      </c>
      <c r="Y59" s="10" t="str">
        <f t="shared" si="12"/>
        <v>http://usfh.ch/img/Messer/02SC110.jpg</v>
      </c>
      <c r="Z59" s="10" t="str">
        <f t="shared" si="13"/>
        <v>02SC110</v>
      </c>
      <c r="AA59" s="13">
        <f t="shared" si="14"/>
        <v>115</v>
      </c>
      <c r="AB59" s="13">
        <f t="shared" si="15"/>
        <v>33.200000000000003</v>
      </c>
      <c r="AC59" s="10">
        <v>0.5</v>
      </c>
    </row>
    <row r="60" spans="1:29" s="14" customFormat="1" ht="15" customHeight="1" x14ac:dyDescent="0.25">
      <c r="A60" s="10">
        <v>59</v>
      </c>
      <c r="B60" s="10"/>
      <c r="C60" s="10"/>
      <c r="D60" s="10"/>
      <c r="E60" s="10"/>
      <c r="F60" s="10">
        <v>1</v>
      </c>
      <c r="G60" s="11" t="s">
        <v>215</v>
      </c>
      <c r="H60" s="10">
        <v>1</v>
      </c>
      <c r="I60" s="10" t="s">
        <v>216</v>
      </c>
      <c r="J60" s="10" t="s">
        <v>30</v>
      </c>
      <c r="K60" s="10"/>
      <c r="L60" s="9">
        <v>99</v>
      </c>
      <c r="M60" s="10">
        <v>53</v>
      </c>
      <c r="N60" s="9">
        <v>45.7</v>
      </c>
      <c r="O60" s="10" t="str">
        <f t="shared" si="9"/>
        <v>02OE008</v>
      </c>
      <c r="P60" s="10" t="s">
        <v>40</v>
      </c>
      <c r="Q60" s="10" t="s">
        <v>217</v>
      </c>
      <c r="R60" s="12">
        <v>4045011114038</v>
      </c>
      <c r="S60" s="16" t="s">
        <v>218</v>
      </c>
      <c r="T60" s="10" t="str">
        <f t="shared" si="10"/>
        <v>Brush Demon,Accueil,Messer plus,feste Klinge,Böker,Outdoor Edge</v>
      </c>
      <c r="U60" s="10" t="str">
        <f t="shared" si="11"/>
        <v>Brush Demon</v>
      </c>
      <c r="V60" s="10" t="str">
        <f t="shared" si="17"/>
        <v>Brush Demon,Accueil,Messer plus,feste Klinge,Böker,Outdoor Edge</v>
      </c>
      <c r="W60" s="10">
        <v>1</v>
      </c>
      <c r="X60" s="10">
        <v>1</v>
      </c>
      <c r="Y60" s="10" t="str">
        <f t="shared" si="12"/>
        <v>http://usfh.ch/img/Messer/02OE008.jpg</v>
      </c>
      <c r="Z60" s="10" t="str">
        <f t="shared" si="13"/>
        <v>02OE008</v>
      </c>
      <c r="AA60" s="13">
        <f t="shared" si="14"/>
        <v>99</v>
      </c>
      <c r="AB60" s="13">
        <f t="shared" si="15"/>
        <v>45.7</v>
      </c>
      <c r="AC60" s="10">
        <v>0.5</v>
      </c>
    </row>
    <row r="61" spans="1:29" s="14" customFormat="1" ht="15" customHeight="1" x14ac:dyDescent="0.25">
      <c r="A61" s="10">
        <v>60</v>
      </c>
      <c r="B61" s="10"/>
      <c r="C61" s="10"/>
      <c r="D61" s="10"/>
      <c r="E61" s="10"/>
      <c r="F61" s="10">
        <v>1</v>
      </c>
      <c r="G61" s="11" t="s">
        <v>163</v>
      </c>
      <c r="H61" s="10">
        <v>1</v>
      </c>
      <c r="I61" s="16" t="s">
        <v>219</v>
      </c>
      <c r="J61" s="10" t="s">
        <v>30</v>
      </c>
      <c r="K61" s="10"/>
      <c r="L61" s="9">
        <v>126</v>
      </c>
      <c r="M61" s="10">
        <v>53</v>
      </c>
      <c r="N61" s="9">
        <v>57.55</v>
      </c>
      <c r="O61" s="10" t="str">
        <f t="shared" si="9"/>
        <v>01FX151T</v>
      </c>
      <c r="P61" s="10" t="s">
        <v>40</v>
      </c>
      <c r="Q61" s="10" t="s">
        <v>63</v>
      </c>
      <c r="R61" s="12">
        <v>4045011080227</v>
      </c>
      <c r="S61" s="16" t="s">
        <v>220</v>
      </c>
      <c r="T61" s="10" t="str">
        <f t="shared" si="10"/>
        <v>Sierra Tactial Rescue,Accueil,Messer plus,feste Klinge,Böker,FKMD</v>
      </c>
      <c r="U61" s="10" t="str">
        <f t="shared" si="11"/>
        <v>Sierra Tactial Rescue</v>
      </c>
      <c r="V61" s="10" t="str">
        <f t="shared" si="17"/>
        <v>Sierra Tactial Rescue,Accueil,Messer plus,feste Klinge,Böker,FKMD</v>
      </c>
      <c r="W61" s="10">
        <v>1</v>
      </c>
      <c r="X61" s="10">
        <v>1</v>
      </c>
      <c r="Y61" s="10" t="str">
        <f t="shared" si="12"/>
        <v>http://usfh.ch/img/Messer/01FX151T.jpg</v>
      </c>
      <c r="Z61" s="10" t="str">
        <f t="shared" si="13"/>
        <v>01FX151T</v>
      </c>
      <c r="AA61" s="13">
        <f t="shared" si="14"/>
        <v>126</v>
      </c>
      <c r="AB61" s="13">
        <f t="shared" si="15"/>
        <v>57.55</v>
      </c>
      <c r="AC61" s="10">
        <v>0.5</v>
      </c>
    </row>
    <row r="62" spans="1:29" s="14" customFormat="1" ht="15" customHeight="1" x14ac:dyDescent="0.25">
      <c r="A62" s="10">
        <v>61</v>
      </c>
      <c r="B62" s="10"/>
      <c r="C62" s="10"/>
      <c r="D62" s="10"/>
      <c r="E62" s="10"/>
      <c r="F62" s="10">
        <v>0</v>
      </c>
      <c r="G62" s="11" t="s">
        <v>222</v>
      </c>
      <c r="H62" s="10">
        <v>0</v>
      </c>
      <c r="I62" s="16" t="s">
        <v>846</v>
      </c>
      <c r="J62" s="10" t="s">
        <v>30</v>
      </c>
      <c r="K62" s="10"/>
      <c r="L62" s="9">
        <v>179</v>
      </c>
      <c r="M62" s="10">
        <v>53</v>
      </c>
      <c r="N62" s="9">
        <v>77.48</v>
      </c>
      <c r="O62" s="10" t="str">
        <f t="shared" si="9"/>
        <v>02UC5025</v>
      </c>
      <c r="P62" s="10" t="s">
        <v>40</v>
      </c>
      <c r="Q62" s="10" t="s">
        <v>60</v>
      </c>
      <c r="R62" s="12">
        <v>4045011083242</v>
      </c>
      <c r="S62" s="16" t="s">
        <v>223</v>
      </c>
      <c r="T62" s="10" t="str">
        <f t="shared" si="10"/>
        <v>United Cutlery Gil Hibben Assault,Accueil,Messer plus,feste Klinge,Böker,United Cutlery</v>
      </c>
      <c r="U62" s="10" t="str">
        <f t="shared" si="11"/>
        <v>United Cutlery Gil Hibben Assault</v>
      </c>
      <c r="V62" s="10" t="str">
        <f t="shared" si="17"/>
        <v>United Cutlery Gil Hibben Assault,Accueil,Messer plus,feste Klinge,Böker,United Cutlery</v>
      </c>
      <c r="W62" s="10">
        <v>1</v>
      </c>
      <c r="X62" s="10">
        <v>1</v>
      </c>
      <c r="Y62" s="10" t="str">
        <f t="shared" si="12"/>
        <v>http://usfh.ch/img/Messer/02UC5025.jpg</v>
      </c>
      <c r="Z62" s="10" t="str">
        <f t="shared" si="13"/>
        <v>02UC5025</v>
      </c>
      <c r="AA62" s="13">
        <f t="shared" si="14"/>
        <v>0</v>
      </c>
      <c r="AB62" s="13">
        <f t="shared" si="15"/>
        <v>0</v>
      </c>
      <c r="AC62" s="10">
        <v>0.5</v>
      </c>
    </row>
    <row r="63" spans="1:29" s="14" customFormat="1" ht="15" customHeight="1" x14ac:dyDescent="0.25">
      <c r="A63" s="10">
        <v>62</v>
      </c>
      <c r="B63" s="10"/>
      <c r="C63" s="10"/>
      <c r="D63" s="10"/>
      <c r="E63" s="10"/>
      <c r="F63" s="10">
        <v>1</v>
      </c>
      <c r="G63" s="15" t="s">
        <v>224</v>
      </c>
      <c r="H63" s="10">
        <v>1</v>
      </c>
      <c r="I63" s="10" t="s">
        <v>225</v>
      </c>
      <c r="J63" s="10" t="s">
        <v>30</v>
      </c>
      <c r="K63" s="10"/>
      <c r="L63" s="9">
        <v>77</v>
      </c>
      <c r="M63" s="10">
        <v>53</v>
      </c>
      <c r="N63" s="9">
        <v>35.6</v>
      </c>
      <c r="O63" s="10" t="str">
        <f t="shared" si="9"/>
        <v>02MU080</v>
      </c>
      <c r="P63" s="10" t="s">
        <v>40</v>
      </c>
      <c r="Q63" s="10" t="s">
        <v>96</v>
      </c>
      <c r="R63" s="12">
        <v>4045011120251</v>
      </c>
      <c r="S63" s="16" t="s">
        <v>226</v>
      </c>
      <c r="T63" s="10" t="str">
        <f t="shared" si="10"/>
        <v>Cazorla,Accueil,Messer plus,feste Klinge,Böker,Muela</v>
      </c>
      <c r="U63" s="10" t="str">
        <f t="shared" si="11"/>
        <v>Cazorla</v>
      </c>
      <c r="V63" s="10" t="str">
        <f t="shared" si="17"/>
        <v>Cazorla,Accueil,Messer plus,feste Klinge,Böker,Muela</v>
      </c>
      <c r="W63" s="10">
        <v>1</v>
      </c>
      <c r="X63" s="10">
        <v>1</v>
      </c>
      <c r="Y63" s="10" t="str">
        <f t="shared" si="12"/>
        <v>http://usfh.ch/img/Messer/02MU080.jpg</v>
      </c>
      <c r="Z63" s="10" t="str">
        <f t="shared" si="13"/>
        <v>02MU080</v>
      </c>
      <c r="AA63" s="13">
        <f t="shared" si="14"/>
        <v>77</v>
      </c>
      <c r="AB63" s="13">
        <f t="shared" si="15"/>
        <v>35.6</v>
      </c>
      <c r="AC63" s="10">
        <v>0.5</v>
      </c>
    </row>
    <row r="64" spans="1:29" s="14" customFormat="1" ht="15" customHeight="1" x14ac:dyDescent="0.25">
      <c r="A64" s="10">
        <v>63</v>
      </c>
      <c r="B64" s="10"/>
      <c r="C64" s="10"/>
      <c r="D64" s="10"/>
      <c r="E64" s="10"/>
      <c r="F64" s="10">
        <v>1</v>
      </c>
      <c r="G64" s="11" t="s">
        <v>227</v>
      </c>
      <c r="H64" s="10">
        <v>1</v>
      </c>
      <c r="I64" s="16" t="s">
        <v>228</v>
      </c>
      <c r="J64" s="10" t="s">
        <v>30</v>
      </c>
      <c r="K64" s="10"/>
      <c r="L64" s="9">
        <v>93</v>
      </c>
      <c r="M64" s="10">
        <v>53</v>
      </c>
      <c r="N64" s="9">
        <v>44.98</v>
      </c>
      <c r="O64" s="10" t="str">
        <f t="shared" si="9"/>
        <v>02UC2786</v>
      </c>
      <c r="P64" s="10" t="s">
        <v>40</v>
      </c>
      <c r="Q64" s="10" t="s">
        <v>60</v>
      </c>
      <c r="R64" s="12">
        <v>4045011083303</v>
      </c>
      <c r="S64" s="16" t="s">
        <v>229</v>
      </c>
      <c r="T64" s="10" t="str">
        <f t="shared" si="10"/>
        <v>Honshu Kerambit,Accueil,Messer plus,feste Klinge,Böker,United Cutlery</v>
      </c>
      <c r="U64" s="10" t="str">
        <f t="shared" si="11"/>
        <v>Honshu Kerambit</v>
      </c>
      <c r="V64" s="10" t="str">
        <f t="shared" si="17"/>
        <v>Honshu Kerambit,Accueil,Messer plus,feste Klinge,Böker,United Cutlery</v>
      </c>
      <c r="W64" s="10">
        <v>1</v>
      </c>
      <c r="X64" s="10">
        <v>1</v>
      </c>
      <c r="Y64" s="10" t="str">
        <f t="shared" si="12"/>
        <v>http://usfh.ch/img/Messer/02UC2786.jpg</v>
      </c>
      <c r="Z64" s="10" t="str">
        <f t="shared" si="13"/>
        <v>02UC2786</v>
      </c>
      <c r="AA64" s="13">
        <f t="shared" si="14"/>
        <v>93</v>
      </c>
      <c r="AB64" s="13">
        <f t="shared" si="15"/>
        <v>44.98</v>
      </c>
      <c r="AC64" s="10">
        <v>0.5</v>
      </c>
    </row>
    <row r="65" spans="1:29" s="14" customFormat="1" ht="15" customHeight="1" x14ac:dyDescent="0.25">
      <c r="A65" s="10">
        <v>64</v>
      </c>
      <c r="B65" s="10"/>
      <c r="C65" s="10"/>
      <c r="D65" s="10"/>
      <c r="E65" s="10"/>
      <c r="F65" s="10">
        <v>1</v>
      </c>
      <c r="G65" s="11" t="s">
        <v>230</v>
      </c>
      <c r="H65" s="10">
        <v>1</v>
      </c>
      <c r="I65" s="10" t="s">
        <v>231</v>
      </c>
      <c r="J65" s="10" t="s">
        <v>30</v>
      </c>
      <c r="K65" s="10"/>
      <c r="L65" s="9">
        <v>65</v>
      </c>
      <c r="M65" s="10">
        <v>53</v>
      </c>
      <c r="N65" s="9">
        <v>26.1</v>
      </c>
      <c r="O65" s="10" t="str">
        <f t="shared" ref="O65:O90" si="18">G65</f>
        <v>02MU006</v>
      </c>
      <c r="P65" s="10" t="s">
        <v>40</v>
      </c>
      <c r="Q65" s="10" t="s">
        <v>96</v>
      </c>
      <c r="R65" s="12">
        <v>4045011073663</v>
      </c>
      <c r="S65" s="16" t="s">
        <v>232</v>
      </c>
      <c r="T65" s="10" t="str">
        <f t="shared" ref="T65:T90" si="19">$I65 &amp; "," &amp; $J65 &amp;"," &amp; $P65 &amp;","&amp; $Q65</f>
        <v>Mountain,Accueil,Messer plus,feste Klinge,Böker,Muela</v>
      </c>
      <c r="U65" s="10" t="str">
        <f t="shared" ref="U65:U90" si="20">I65</f>
        <v>Mountain</v>
      </c>
      <c r="V65" s="10" t="str">
        <f t="shared" si="17"/>
        <v>Mountain,Accueil,Messer plus,feste Klinge,Böker,Muela</v>
      </c>
      <c r="W65" s="10">
        <v>1</v>
      </c>
      <c r="X65" s="10">
        <v>1</v>
      </c>
      <c r="Y65" s="10" t="str">
        <f t="shared" ref="Y65:Y90" si="21" xml:space="preserve"> "http://usfh.ch/img/Messer/" &amp; G65 &amp; ".jpg"</f>
        <v>http://usfh.ch/img/Messer/02MU006.jpg</v>
      </c>
      <c r="Z65" s="10" t="str">
        <f t="shared" ref="Z65:Z90" si="22">G65</f>
        <v>02MU006</v>
      </c>
      <c r="AA65" s="13">
        <f t="shared" ref="AA65:AA90" si="23">F65*L65</f>
        <v>65</v>
      </c>
      <c r="AB65" s="13">
        <f t="shared" ref="AB65:AB90" si="24">F65*N65</f>
        <v>26.1</v>
      </c>
      <c r="AC65" s="10">
        <v>0.5</v>
      </c>
    </row>
    <row r="66" spans="1:29" s="14" customFormat="1" ht="15" customHeight="1" x14ac:dyDescent="0.25">
      <c r="A66" s="10">
        <v>65</v>
      </c>
      <c r="B66" s="10"/>
      <c r="C66" s="10"/>
      <c r="D66" s="10"/>
      <c r="E66" s="10"/>
      <c r="F66" s="10">
        <v>0</v>
      </c>
      <c r="G66" s="11">
        <v>512012</v>
      </c>
      <c r="H66" s="10">
        <v>1</v>
      </c>
      <c r="I66" s="10" t="s">
        <v>233</v>
      </c>
      <c r="J66" s="10" t="s">
        <v>30</v>
      </c>
      <c r="K66" s="10"/>
      <c r="L66" s="9">
        <v>149</v>
      </c>
      <c r="M66" s="10">
        <v>53</v>
      </c>
      <c r="N66" s="9">
        <v>56.8</v>
      </c>
      <c r="O66" s="10">
        <f t="shared" si="18"/>
        <v>512012</v>
      </c>
      <c r="P66" s="10" t="s">
        <v>76</v>
      </c>
      <c r="Q66" s="10" t="s">
        <v>76</v>
      </c>
      <c r="R66" s="10"/>
      <c r="S66" s="16" t="s">
        <v>234</v>
      </c>
      <c r="T66" s="10" t="str">
        <f t="shared" si="19"/>
        <v>Bowiemesser-Kombi,Accueil,Messer plus,feste Klinge,Linder,Linder</v>
      </c>
      <c r="U66" s="10" t="str">
        <f t="shared" si="20"/>
        <v>Bowiemesser-Kombi</v>
      </c>
      <c r="V66" s="10" t="str">
        <f t="shared" si="17"/>
        <v>Bowiemesser-Kombi,Accueil,Messer plus,feste Klinge,Linder,Linder</v>
      </c>
      <c r="W66" s="10">
        <v>1</v>
      </c>
      <c r="X66" s="10">
        <v>1</v>
      </c>
      <c r="Y66" s="10" t="str">
        <f t="shared" si="21"/>
        <v>http://usfh.ch/img/Messer/512012.jpg</v>
      </c>
      <c r="Z66" s="10">
        <f t="shared" si="22"/>
        <v>512012</v>
      </c>
      <c r="AA66" s="13">
        <f t="shared" si="23"/>
        <v>0</v>
      </c>
      <c r="AB66" s="13">
        <f t="shared" si="24"/>
        <v>0</v>
      </c>
      <c r="AC66" s="10">
        <v>0.5</v>
      </c>
    </row>
    <row r="67" spans="1:29" s="14" customFormat="1" ht="15" customHeight="1" x14ac:dyDescent="0.25">
      <c r="A67" s="10">
        <v>66</v>
      </c>
      <c r="B67" s="10">
        <v>1</v>
      </c>
      <c r="C67" s="10"/>
      <c r="D67" s="10"/>
      <c r="E67" s="10"/>
      <c r="F67" s="10">
        <v>3</v>
      </c>
      <c r="G67" s="11" t="s">
        <v>235</v>
      </c>
      <c r="H67" s="10">
        <v>1</v>
      </c>
      <c r="I67" s="16" t="s">
        <v>236</v>
      </c>
      <c r="J67" s="10" t="s">
        <v>30</v>
      </c>
      <c r="K67" s="10"/>
      <c r="L67" s="9">
        <v>65</v>
      </c>
      <c r="M67" s="10">
        <v>53</v>
      </c>
      <c r="N67" s="9">
        <v>25.8</v>
      </c>
      <c r="O67" s="10" t="str">
        <f t="shared" si="18"/>
        <v>CR2389</v>
      </c>
      <c r="P67" s="10" t="s">
        <v>119</v>
      </c>
      <c r="Q67" s="10" t="s">
        <v>153</v>
      </c>
      <c r="R67" s="10"/>
      <c r="S67" s="16" t="s">
        <v>237</v>
      </c>
      <c r="T67" s="10" t="str">
        <f t="shared" si="19"/>
        <v>Minimalist Keramin,Accueil,Messer plus,feste Klinge,Klötzli,CRKT</v>
      </c>
      <c r="U67" s="10" t="str">
        <f t="shared" si="20"/>
        <v>Minimalist Keramin</v>
      </c>
      <c r="V67" s="10" t="str">
        <f t="shared" ref="V67:V70" si="25">T67</f>
        <v>Minimalist Keramin,Accueil,Messer plus,feste Klinge,Klötzli,CRKT</v>
      </c>
      <c r="W67" s="10">
        <v>1</v>
      </c>
      <c r="X67" s="10">
        <v>1</v>
      </c>
      <c r="Y67" s="10" t="str">
        <f t="shared" si="21"/>
        <v>http://usfh.ch/img/Messer/CR2389.jpg</v>
      </c>
      <c r="Z67" s="10" t="str">
        <f t="shared" si="22"/>
        <v>CR2389</v>
      </c>
      <c r="AA67" s="13">
        <f t="shared" si="23"/>
        <v>195</v>
      </c>
      <c r="AB67" s="13">
        <f t="shared" si="24"/>
        <v>77.400000000000006</v>
      </c>
      <c r="AC67" s="10">
        <v>0.5</v>
      </c>
    </row>
    <row r="68" spans="1:29" s="14" customFormat="1" ht="15" customHeight="1" x14ac:dyDescent="0.25">
      <c r="A68" s="10">
        <v>67</v>
      </c>
      <c r="B68" s="10">
        <v>1</v>
      </c>
      <c r="C68" s="10"/>
      <c r="D68" s="10"/>
      <c r="E68" s="10"/>
      <c r="F68" s="10">
        <v>5</v>
      </c>
      <c r="G68" s="11" t="s">
        <v>238</v>
      </c>
      <c r="H68" s="10">
        <v>1</v>
      </c>
      <c r="I68" s="16" t="s">
        <v>239</v>
      </c>
      <c r="J68" s="10" t="s">
        <v>30</v>
      </c>
      <c r="K68" s="10"/>
      <c r="L68" s="9">
        <v>65</v>
      </c>
      <c r="M68" s="10">
        <v>53</v>
      </c>
      <c r="N68" s="9">
        <v>25.8</v>
      </c>
      <c r="O68" s="10" t="str">
        <f t="shared" si="18"/>
        <v>CR2387</v>
      </c>
      <c r="P68" s="10" t="s">
        <v>119</v>
      </c>
      <c r="Q68" s="10" t="s">
        <v>153</v>
      </c>
      <c r="R68" s="10"/>
      <c r="S68" s="16" t="s">
        <v>240</v>
      </c>
      <c r="T68" s="10" t="str">
        <f t="shared" si="19"/>
        <v>Folts Minimalist Bowie,Accueil,Messer plus,feste Klinge,Klötzli,CRKT</v>
      </c>
      <c r="U68" s="10" t="str">
        <f t="shared" si="20"/>
        <v>Folts Minimalist Bowie</v>
      </c>
      <c r="V68" s="10" t="str">
        <f t="shared" si="25"/>
        <v>Folts Minimalist Bowie,Accueil,Messer plus,feste Klinge,Klötzli,CRKT</v>
      </c>
      <c r="W68" s="10">
        <v>1</v>
      </c>
      <c r="X68" s="10">
        <v>1</v>
      </c>
      <c r="Y68" s="10" t="str">
        <f t="shared" si="21"/>
        <v>http://usfh.ch/img/Messer/CR2387.jpg</v>
      </c>
      <c r="Z68" s="10" t="str">
        <f t="shared" si="22"/>
        <v>CR2387</v>
      </c>
      <c r="AA68" s="13">
        <f t="shared" si="23"/>
        <v>325</v>
      </c>
      <c r="AB68" s="13">
        <f t="shared" si="24"/>
        <v>129</v>
      </c>
      <c r="AC68" s="10">
        <v>0.5</v>
      </c>
    </row>
    <row r="69" spans="1:29" s="14" customFormat="1" ht="15" customHeight="1" x14ac:dyDescent="0.25">
      <c r="A69" s="10">
        <v>68</v>
      </c>
      <c r="B69" s="10">
        <v>1</v>
      </c>
      <c r="C69" s="10"/>
      <c r="D69" s="10"/>
      <c r="E69" s="10"/>
      <c r="F69" s="10">
        <v>4</v>
      </c>
      <c r="G69" s="11" t="s">
        <v>241</v>
      </c>
      <c r="H69" s="10">
        <v>1</v>
      </c>
      <c r="I69" s="10" t="s">
        <v>242</v>
      </c>
      <c r="J69" s="10" t="s">
        <v>30</v>
      </c>
      <c r="K69" s="10"/>
      <c r="L69" s="9">
        <v>65</v>
      </c>
      <c r="M69" s="10">
        <v>53</v>
      </c>
      <c r="N69" s="9">
        <v>25.8</v>
      </c>
      <c r="O69" s="10" t="str">
        <f t="shared" si="18"/>
        <v>02CR2385</v>
      </c>
      <c r="P69" s="10" t="s">
        <v>40</v>
      </c>
      <c r="Q69" s="10" t="s">
        <v>153</v>
      </c>
      <c r="R69" s="12">
        <v>4045011053368</v>
      </c>
      <c r="S69" s="16" t="s">
        <v>243</v>
      </c>
      <c r="T69" s="10" t="str">
        <f t="shared" si="19"/>
        <v>Minimalist,Accueil,Messer plus,feste Klinge,Böker,CRKT</v>
      </c>
      <c r="U69" s="10" t="str">
        <f t="shared" si="20"/>
        <v>Minimalist</v>
      </c>
      <c r="V69" s="10" t="str">
        <f t="shared" si="25"/>
        <v>Minimalist,Accueil,Messer plus,feste Klinge,Böker,CRKT</v>
      </c>
      <c r="W69" s="10">
        <v>1</v>
      </c>
      <c r="X69" s="10">
        <v>1</v>
      </c>
      <c r="Y69" s="10" t="str">
        <f t="shared" si="21"/>
        <v>http://usfh.ch/img/Messer/02CR2385.jpg</v>
      </c>
      <c r="Z69" s="10" t="str">
        <f t="shared" si="22"/>
        <v>02CR2385</v>
      </c>
      <c r="AA69" s="13">
        <f t="shared" si="23"/>
        <v>260</v>
      </c>
      <c r="AB69" s="13">
        <f t="shared" si="24"/>
        <v>103.2</v>
      </c>
      <c r="AC69" s="10">
        <v>0.5</v>
      </c>
    </row>
    <row r="70" spans="1:29" s="14" customFormat="1" ht="15" customHeight="1" x14ac:dyDescent="0.25">
      <c r="A70" s="10">
        <v>69</v>
      </c>
      <c r="B70" s="10"/>
      <c r="C70" s="10"/>
      <c r="D70" s="10"/>
      <c r="E70" s="10"/>
      <c r="F70" s="10">
        <v>1</v>
      </c>
      <c r="G70" s="11" t="s">
        <v>244</v>
      </c>
      <c r="H70" s="10">
        <v>1</v>
      </c>
      <c r="I70" s="10" t="s">
        <v>245</v>
      </c>
      <c r="J70" s="10" t="s">
        <v>30</v>
      </c>
      <c r="K70" s="10"/>
      <c r="L70" s="9">
        <v>59</v>
      </c>
      <c r="M70" s="10">
        <v>53</v>
      </c>
      <c r="N70" s="9">
        <v>27.2</v>
      </c>
      <c r="O70" s="10" t="str">
        <f t="shared" si="18"/>
        <v>CST-97KMIGS</v>
      </c>
      <c r="P70" s="10" t="s">
        <v>67</v>
      </c>
      <c r="Q70" s="10" t="s">
        <v>67</v>
      </c>
      <c r="R70" s="12"/>
      <c r="S70" s="16" t="s">
        <v>246</v>
      </c>
      <c r="T70" s="10" t="str">
        <f t="shared" si="19"/>
        <v>Royal Kukri Machete mit Scheide,Accueil,Messer plus,feste Klinge,Coldsteel,Coldsteel</v>
      </c>
      <c r="U70" s="10" t="str">
        <f t="shared" si="20"/>
        <v>Royal Kukri Machete mit Scheide</v>
      </c>
      <c r="V70" s="10" t="str">
        <f t="shared" si="25"/>
        <v>Royal Kukri Machete mit Scheide,Accueil,Messer plus,feste Klinge,Coldsteel,Coldsteel</v>
      </c>
      <c r="W70" s="10">
        <v>1</v>
      </c>
      <c r="X70" s="10">
        <v>1</v>
      </c>
      <c r="Y70" s="10" t="str">
        <f t="shared" si="21"/>
        <v>http://usfh.ch/img/Messer/CST-97KMIGS.jpg</v>
      </c>
      <c r="Z70" s="10" t="str">
        <f t="shared" si="22"/>
        <v>CST-97KMIGS</v>
      </c>
      <c r="AA70" s="13">
        <f t="shared" si="23"/>
        <v>59</v>
      </c>
      <c r="AB70" s="13">
        <f t="shared" si="24"/>
        <v>27.2</v>
      </c>
      <c r="AC70" s="10">
        <v>0.5</v>
      </c>
    </row>
    <row r="71" spans="1:29" s="14" customFormat="1" ht="15" customHeight="1" x14ac:dyDescent="0.25">
      <c r="A71" s="10">
        <v>70</v>
      </c>
      <c r="B71" s="10">
        <v>1</v>
      </c>
      <c r="C71" s="10">
        <v>1</v>
      </c>
      <c r="D71" s="10"/>
      <c r="E71" s="10"/>
      <c r="F71" s="10">
        <v>2</v>
      </c>
      <c r="G71" s="11" t="s">
        <v>247</v>
      </c>
      <c r="H71" s="10">
        <v>1</v>
      </c>
      <c r="I71" s="10" t="s">
        <v>248</v>
      </c>
      <c r="J71" s="10" t="s">
        <v>27</v>
      </c>
      <c r="K71" s="10"/>
      <c r="L71" s="9">
        <v>39</v>
      </c>
      <c r="M71" s="10">
        <v>53</v>
      </c>
      <c r="N71" s="9">
        <v>13.6</v>
      </c>
      <c r="O71" s="10" t="str">
        <f t="shared" si="18"/>
        <v>01RU004</v>
      </c>
      <c r="P71" s="10" t="s">
        <v>40</v>
      </c>
      <c r="Q71" s="10" t="s">
        <v>249</v>
      </c>
      <c r="R71" s="12">
        <v>4045011132889</v>
      </c>
      <c r="S71" s="16" t="s">
        <v>250</v>
      </c>
      <c r="T71" s="10" t="str">
        <f t="shared" si="19"/>
        <v>Taschenmesser Rui Mohican III Pocket,Accueil,Messer plus,Klappmesser,Böker,Rui</v>
      </c>
      <c r="U71" s="10" t="str">
        <f t="shared" si="20"/>
        <v>Taschenmesser Rui Mohican III Pocket</v>
      </c>
      <c r="V71" s="10" t="str">
        <f t="shared" ref="V71:V87" si="26">T71</f>
        <v>Taschenmesser Rui Mohican III Pocket,Accueil,Messer plus,Klappmesser,Böker,Rui</v>
      </c>
      <c r="W71" s="10">
        <v>1</v>
      </c>
      <c r="X71" s="10">
        <v>1</v>
      </c>
      <c r="Y71" s="10" t="str">
        <f t="shared" si="21"/>
        <v>http://usfh.ch/img/Messer/01RU004.jpg</v>
      </c>
      <c r="Z71" s="10" t="str">
        <f t="shared" si="22"/>
        <v>01RU004</v>
      </c>
      <c r="AA71" s="13">
        <f t="shared" si="23"/>
        <v>78</v>
      </c>
      <c r="AB71" s="13">
        <f t="shared" si="24"/>
        <v>27.2</v>
      </c>
      <c r="AC71" s="10">
        <v>0.5</v>
      </c>
    </row>
    <row r="72" spans="1:29" s="14" customFormat="1" ht="15" customHeight="1" x14ac:dyDescent="0.25">
      <c r="A72" s="10">
        <v>71</v>
      </c>
      <c r="B72" s="10"/>
      <c r="C72" s="10"/>
      <c r="D72" s="10"/>
      <c r="E72" s="10"/>
      <c r="F72" s="10">
        <v>0</v>
      </c>
      <c r="G72" s="11">
        <v>140621</v>
      </c>
      <c r="H72" s="10">
        <v>1</v>
      </c>
      <c r="I72" s="10" t="s">
        <v>251</v>
      </c>
      <c r="J72" s="10" t="s">
        <v>27</v>
      </c>
      <c r="K72" s="10"/>
      <c r="L72" s="9">
        <v>172</v>
      </c>
      <c r="M72" s="10">
        <v>53</v>
      </c>
      <c r="N72" s="9">
        <v>75.3</v>
      </c>
      <c r="O72" s="10">
        <f t="shared" si="18"/>
        <v>140621</v>
      </c>
      <c r="P72" s="10" t="s">
        <v>40</v>
      </c>
      <c r="Q72" s="10" t="s">
        <v>40</v>
      </c>
      <c r="R72" s="12">
        <v>4045011094415</v>
      </c>
      <c r="S72" s="16" t="s">
        <v>252</v>
      </c>
      <c r="T72" s="10" t="str">
        <f t="shared" si="19"/>
        <v>King Cutter White 5/8" Rundkopf,Accueil,Messer plus,Klappmesser,Böker,Böker</v>
      </c>
      <c r="U72" s="10" t="str">
        <f t="shared" si="20"/>
        <v>King Cutter White 5/8" Rundkopf</v>
      </c>
      <c r="V72" s="10" t="str">
        <f t="shared" si="26"/>
        <v>King Cutter White 5/8" Rundkopf,Accueil,Messer plus,Klappmesser,Böker,Böker</v>
      </c>
      <c r="W72" s="10">
        <v>1</v>
      </c>
      <c r="X72" s="10">
        <v>1</v>
      </c>
      <c r="Y72" s="10" t="str">
        <f t="shared" si="21"/>
        <v>http://usfh.ch/img/Messer/140621.jpg</v>
      </c>
      <c r="Z72" s="10">
        <f t="shared" si="22"/>
        <v>140621</v>
      </c>
      <c r="AA72" s="13">
        <f t="shared" si="23"/>
        <v>0</v>
      </c>
      <c r="AB72" s="13">
        <f t="shared" si="24"/>
        <v>0</v>
      </c>
      <c r="AC72" s="10">
        <v>0.5</v>
      </c>
    </row>
    <row r="73" spans="1:29" s="14" customFormat="1" ht="15" customHeight="1" x14ac:dyDescent="0.25">
      <c r="A73" s="10">
        <v>72</v>
      </c>
      <c r="B73" s="10">
        <v>1</v>
      </c>
      <c r="C73" s="10">
        <v>2</v>
      </c>
      <c r="D73" s="10"/>
      <c r="E73" s="10"/>
      <c r="F73" s="10">
        <v>2</v>
      </c>
      <c r="G73" s="11">
        <v>4416</v>
      </c>
      <c r="H73" s="10">
        <v>1</v>
      </c>
      <c r="I73" s="10" t="s">
        <v>253</v>
      </c>
      <c r="J73" s="10" t="s">
        <v>27</v>
      </c>
      <c r="K73" s="10"/>
      <c r="L73" s="9">
        <v>66</v>
      </c>
      <c r="M73" s="10">
        <v>53</v>
      </c>
      <c r="N73" s="9">
        <v>24.6</v>
      </c>
      <c r="O73" s="10">
        <f t="shared" si="18"/>
        <v>4416</v>
      </c>
      <c r="P73" s="10" t="s">
        <v>31</v>
      </c>
      <c r="Q73" s="10" t="s">
        <v>32</v>
      </c>
      <c r="R73" s="12"/>
      <c r="S73" s="16" t="s">
        <v>254</v>
      </c>
      <c r="T73" s="10" t="str">
        <f t="shared" si="19"/>
        <v>Multi TacKnife Black,Accueil,Messer plus,Klappmesser,Airsoft,Walther</v>
      </c>
      <c r="U73" s="10" t="str">
        <f t="shared" si="20"/>
        <v>Multi TacKnife Black</v>
      </c>
      <c r="V73" s="10" t="str">
        <f t="shared" si="26"/>
        <v>Multi TacKnife Black,Accueil,Messer plus,Klappmesser,Airsoft,Walther</v>
      </c>
      <c r="W73" s="10">
        <v>1</v>
      </c>
      <c r="X73" s="10">
        <v>1</v>
      </c>
      <c r="Y73" s="10" t="str">
        <f t="shared" si="21"/>
        <v>http://usfh.ch/img/Messer/4416.jpg</v>
      </c>
      <c r="Z73" s="10">
        <f t="shared" si="22"/>
        <v>4416</v>
      </c>
      <c r="AA73" s="13">
        <f t="shared" si="23"/>
        <v>132</v>
      </c>
      <c r="AB73" s="13">
        <f t="shared" si="24"/>
        <v>49.2</v>
      </c>
      <c r="AC73" s="10">
        <v>0.5</v>
      </c>
    </row>
    <row r="74" spans="1:29" s="14" customFormat="1" ht="15" customHeight="1" x14ac:dyDescent="0.25">
      <c r="A74" s="10">
        <v>73</v>
      </c>
      <c r="B74" s="10"/>
      <c r="C74" s="10"/>
      <c r="D74" s="10"/>
      <c r="E74" s="10"/>
      <c r="F74" s="10">
        <v>1</v>
      </c>
      <c r="G74" s="11" t="s">
        <v>255</v>
      </c>
      <c r="H74" s="10">
        <v>1</v>
      </c>
      <c r="I74" s="10" t="s">
        <v>256</v>
      </c>
      <c r="J74" s="10" t="s">
        <v>30</v>
      </c>
      <c r="K74" s="10"/>
      <c r="L74" s="9">
        <v>109</v>
      </c>
      <c r="M74" s="10">
        <v>53</v>
      </c>
      <c r="N74" s="9">
        <v>45.1</v>
      </c>
      <c r="O74" s="10" t="str">
        <f t="shared" si="18"/>
        <v>02MU002</v>
      </c>
      <c r="P74" s="10" t="s">
        <v>40</v>
      </c>
      <c r="Q74" s="10" t="s">
        <v>96</v>
      </c>
      <c r="R74" s="12">
        <v>4045011073625</v>
      </c>
      <c r="S74" s="16" t="s">
        <v>257</v>
      </c>
      <c r="T74" s="10" t="str">
        <f t="shared" si="19"/>
        <v>Venecia,Accueil,Messer plus,feste Klinge,Böker,Muela</v>
      </c>
      <c r="U74" s="10" t="str">
        <f t="shared" si="20"/>
        <v>Venecia</v>
      </c>
      <c r="V74" s="10" t="str">
        <f t="shared" si="26"/>
        <v>Venecia,Accueil,Messer plus,feste Klinge,Böker,Muela</v>
      </c>
      <c r="W74" s="10">
        <v>1</v>
      </c>
      <c r="X74" s="10">
        <v>1</v>
      </c>
      <c r="Y74" s="10" t="str">
        <f t="shared" si="21"/>
        <v>http://usfh.ch/img/Messer/02MU002.jpg</v>
      </c>
      <c r="Z74" s="10" t="str">
        <f t="shared" si="22"/>
        <v>02MU002</v>
      </c>
      <c r="AA74" s="13">
        <f t="shared" si="23"/>
        <v>109</v>
      </c>
      <c r="AB74" s="13">
        <f t="shared" si="24"/>
        <v>45.1</v>
      </c>
      <c r="AC74" s="10">
        <v>0.5</v>
      </c>
    </row>
    <row r="75" spans="1:29" s="14" customFormat="1" ht="15" customHeight="1" x14ac:dyDescent="0.25">
      <c r="A75" s="10">
        <v>74</v>
      </c>
      <c r="B75" s="10"/>
      <c r="C75" s="10"/>
      <c r="D75" s="10"/>
      <c r="E75" s="10"/>
      <c r="F75" s="10">
        <v>2</v>
      </c>
      <c r="G75" s="11" t="s">
        <v>258</v>
      </c>
      <c r="H75" s="10">
        <v>1</v>
      </c>
      <c r="I75" s="10" t="s">
        <v>259</v>
      </c>
      <c r="J75" s="10" t="s">
        <v>30</v>
      </c>
      <c r="K75" s="10"/>
      <c r="L75" s="9">
        <v>123</v>
      </c>
      <c r="M75" s="10">
        <v>53</v>
      </c>
      <c r="N75" s="9">
        <v>55</v>
      </c>
      <c r="O75" s="10" t="str">
        <f t="shared" si="18"/>
        <v>02MAG2013</v>
      </c>
      <c r="P75" s="10" t="s">
        <v>40</v>
      </c>
      <c r="Q75" s="10" t="s">
        <v>40</v>
      </c>
      <c r="R75" s="12"/>
      <c r="S75" s="16" t="s">
        <v>260</v>
      </c>
      <c r="T75" s="10" t="str">
        <f t="shared" si="19"/>
        <v>Magnum by Böker Jahresmesser 2013,Accueil,Messer plus,feste Klinge,Böker,Böker</v>
      </c>
      <c r="U75" s="10" t="str">
        <f t="shared" si="20"/>
        <v>Magnum by Böker Jahresmesser 2013</v>
      </c>
      <c r="V75" s="10" t="str">
        <f t="shared" si="26"/>
        <v>Magnum by Böker Jahresmesser 2013,Accueil,Messer plus,feste Klinge,Böker,Böker</v>
      </c>
      <c r="W75" s="10">
        <v>1</v>
      </c>
      <c r="X75" s="10">
        <v>1</v>
      </c>
      <c r="Y75" s="10" t="str">
        <f t="shared" si="21"/>
        <v>http://usfh.ch/img/Messer/02MAG2013.jpg</v>
      </c>
      <c r="Z75" s="10" t="str">
        <f t="shared" si="22"/>
        <v>02MAG2013</v>
      </c>
      <c r="AA75" s="13">
        <f t="shared" si="23"/>
        <v>246</v>
      </c>
      <c r="AB75" s="13">
        <f t="shared" si="24"/>
        <v>110</v>
      </c>
      <c r="AC75" s="10">
        <v>0.5</v>
      </c>
    </row>
    <row r="76" spans="1:29" s="14" customFormat="1" ht="15" customHeight="1" x14ac:dyDescent="0.25">
      <c r="A76" s="10">
        <v>75</v>
      </c>
      <c r="B76" s="10"/>
      <c r="C76" s="10"/>
      <c r="D76" s="10"/>
      <c r="E76" s="10"/>
      <c r="F76" s="10">
        <v>0</v>
      </c>
      <c r="G76" s="11">
        <v>84268</v>
      </c>
      <c r="H76" s="10">
        <v>1</v>
      </c>
      <c r="I76" s="10" t="s">
        <v>261</v>
      </c>
      <c r="J76" s="10" t="s">
        <v>30</v>
      </c>
      <c r="K76" s="10"/>
      <c r="L76" s="9">
        <v>35</v>
      </c>
      <c r="M76" s="10">
        <v>53</v>
      </c>
      <c r="N76" s="9">
        <v>6.95</v>
      </c>
      <c r="O76" s="10">
        <f t="shared" si="18"/>
        <v>84268</v>
      </c>
      <c r="P76" s="10" t="s">
        <v>44</v>
      </c>
      <c r="Q76" s="10" t="s">
        <v>44</v>
      </c>
      <c r="R76" s="12">
        <v>4050346842686</v>
      </c>
      <c r="S76" s="16" t="s">
        <v>262</v>
      </c>
      <c r="T76" s="10" t="str">
        <f t="shared" si="19"/>
        <v>Tanto Neck Knife,Accueil,Messer plus,feste Klinge,Haller,Haller</v>
      </c>
      <c r="U76" s="10" t="str">
        <f t="shared" si="20"/>
        <v>Tanto Neck Knife</v>
      </c>
      <c r="V76" s="10" t="str">
        <f t="shared" si="26"/>
        <v>Tanto Neck Knife,Accueil,Messer plus,feste Klinge,Haller,Haller</v>
      </c>
      <c r="W76" s="10">
        <v>1</v>
      </c>
      <c r="X76" s="10">
        <v>1</v>
      </c>
      <c r="Y76" s="10" t="str">
        <f t="shared" si="21"/>
        <v>http://usfh.ch/img/Messer/84268.jpg</v>
      </c>
      <c r="Z76" s="10">
        <f t="shared" si="22"/>
        <v>84268</v>
      </c>
      <c r="AA76" s="13">
        <f t="shared" si="23"/>
        <v>0</v>
      </c>
      <c r="AB76" s="13">
        <f t="shared" si="24"/>
        <v>0</v>
      </c>
      <c r="AC76" s="10">
        <v>0.5</v>
      </c>
    </row>
    <row r="77" spans="1:29" s="14" customFormat="1" ht="15" customHeight="1" x14ac:dyDescent="0.25">
      <c r="A77" s="10">
        <v>76</v>
      </c>
      <c r="B77" s="10">
        <v>1</v>
      </c>
      <c r="C77" s="10"/>
      <c r="D77" s="10"/>
      <c r="E77" s="10"/>
      <c r="F77" s="10">
        <v>3</v>
      </c>
      <c r="G77" s="11">
        <v>40449</v>
      </c>
      <c r="H77" s="10">
        <v>1</v>
      </c>
      <c r="I77" s="10" t="s">
        <v>263</v>
      </c>
      <c r="J77" s="10" t="s">
        <v>30</v>
      </c>
      <c r="K77" s="10"/>
      <c r="L77" s="9">
        <v>35</v>
      </c>
      <c r="M77" s="10">
        <v>53</v>
      </c>
      <c r="N77" s="9">
        <v>10.65</v>
      </c>
      <c r="O77" s="10">
        <f t="shared" si="18"/>
        <v>40449</v>
      </c>
      <c r="P77" s="10" t="s">
        <v>44</v>
      </c>
      <c r="Q77" s="10" t="s">
        <v>44</v>
      </c>
      <c r="R77" s="12">
        <v>4050346404495</v>
      </c>
      <c r="S77" s="16" t="s">
        <v>264</v>
      </c>
      <c r="T77" s="10" t="str">
        <f t="shared" si="19"/>
        <v>Neck Knife G10 Griff,Accueil,Messer plus,feste Klinge,Haller,Haller</v>
      </c>
      <c r="U77" s="10" t="str">
        <f t="shared" si="20"/>
        <v>Neck Knife G10 Griff</v>
      </c>
      <c r="V77" s="10" t="str">
        <f t="shared" si="26"/>
        <v>Neck Knife G10 Griff,Accueil,Messer plus,feste Klinge,Haller,Haller</v>
      </c>
      <c r="W77" s="10">
        <v>1</v>
      </c>
      <c r="X77" s="10">
        <v>1</v>
      </c>
      <c r="Y77" s="10" t="str">
        <f t="shared" si="21"/>
        <v>http://usfh.ch/img/Messer/40449.jpg</v>
      </c>
      <c r="Z77" s="10">
        <f t="shared" si="22"/>
        <v>40449</v>
      </c>
      <c r="AA77" s="13">
        <f t="shared" si="23"/>
        <v>105</v>
      </c>
      <c r="AB77" s="13">
        <f t="shared" si="24"/>
        <v>31.950000000000003</v>
      </c>
      <c r="AC77" s="10">
        <v>0.5</v>
      </c>
    </row>
    <row r="78" spans="1:29" s="14" customFormat="1" ht="15" customHeight="1" x14ac:dyDescent="0.25">
      <c r="A78" s="10">
        <v>77</v>
      </c>
      <c r="B78" s="10"/>
      <c r="C78" s="10"/>
      <c r="D78" s="10"/>
      <c r="E78" s="10"/>
      <c r="F78" s="10">
        <v>1</v>
      </c>
      <c r="G78" s="11">
        <v>70100</v>
      </c>
      <c r="H78" s="10">
        <v>1</v>
      </c>
      <c r="I78" s="10" t="s">
        <v>265</v>
      </c>
      <c r="J78" s="10" t="s">
        <v>30</v>
      </c>
      <c r="K78" s="10"/>
      <c r="L78" s="9">
        <v>88</v>
      </c>
      <c r="M78" s="10">
        <v>53</v>
      </c>
      <c r="N78" s="9">
        <v>29.65</v>
      </c>
      <c r="O78" s="10">
        <f t="shared" si="18"/>
        <v>70100</v>
      </c>
      <c r="P78" s="10" t="s">
        <v>44</v>
      </c>
      <c r="Q78" s="10" t="s">
        <v>266</v>
      </c>
      <c r="R78" s="12">
        <v>4050346701006</v>
      </c>
      <c r="S78" s="16" t="s">
        <v>267</v>
      </c>
      <c r="T78" s="10" t="str">
        <f t="shared" si="19"/>
        <v>Original GLOCK Feldmesser schwarz mit Säge,Accueil,Messer plus,feste Klinge,Haller,Glock</v>
      </c>
      <c r="U78" s="10" t="str">
        <f t="shared" si="20"/>
        <v>Original GLOCK Feldmesser schwarz mit Säge</v>
      </c>
      <c r="V78" s="10" t="str">
        <f t="shared" si="26"/>
        <v>Original GLOCK Feldmesser schwarz mit Säge,Accueil,Messer plus,feste Klinge,Haller,Glock</v>
      </c>
      <c r="W78" s="10">
        <v>1</v>
      </c>
      <c r="X78" s="10">
        <v>1</v>
      </c>
      <c r="Y78" s="10" t="str">
        <f t="shared" si="21"/>
        <v>http://usfh.ch/img/Messer/70100.jpg</v>
      </c>
      <c r="Z78" s="10">
        <f t="shared" si="22"/>
        <v>70100</v>
      </c>
      <c r="AA78" s="13">
        <f t="shared" si="23"/>
        <v>88</v>
      </c>
      <c r="AB78" s="13">
        <f t="shared" si="24"/>
        <v>29.65</v>
      </c>
      <c r="AC78" s="10">
        <v>0.5</v>
      </c>
    </row>
    <row r="79" spans="1:29" s="14" customFormat="1" ht="15" customHeight="1" x14ac:dyDescent="0.25">
      <c r="A79" s="10">
        <v>78</v>
      </c>
      <c r="B79" s="10"/>
      <c r="C79" s="10"/>
      <c r="D79" s="10"/>
      <c r="E79" s="10"/>
      <c r="F79" s="10">
        <v>1</v>
      </c>
      <c r="G79" s="11">
        <v>70102</v>
      </c>
      <c r="H79" s="10">
        <v>1</v>
      </c>
      <c r="I79" s="10" t="s">
        <v>268</v>
      </c>
      <c r="J79" s="10" t="s">
        <v>30</v>
      </c>
      <c r="K79" s="10"/>
      <c r="L79" s="9">
        <v>67</v>
      </c>
      <c r="M79" s="10">
        <v>53</v>
      </c>
      <c r="N79" s="9">
        <v>24.95</v>
      </c>
      <c r="O79" s="10">
        <f t="shared" si="18"/>
        <v>70102</v>
      </c>
      <c r="P79" s="10" t="s">
        <v>44</v>
      </c>
      <c r="Q79" s="10" t="s">
        <v>266</v>
      </c>
      <c r="R79" s="12">
        <v>4050346701020</v>
      </c>
      <c r="S79" s="16" t="s">
        <v>269</v>
      </c>
      <c r="T79" s="10" t="str">
        <f t="shared" si="19"/>
        <v>Original GLOCK Feldmesser schwarz ,Accueil,Messer plus,feste Klinge,Haller,Glock</v>
      </c>
      <c r="U79" s="10" t="str">
        <f t="shared" si="20"/>
        <v xml:space="preserve">Original GLOCK Feldmesser schwarz </v>
      </c>
      <c r="V79" s="10" t="str">
        <f t="shared" si="26"/>
        <v>Original GLOCK Feldmesser schwarz ,Accueil,Messer plus,feste Klinge,Haller,Glock</v>
      </c>
      <c r="W79" s="10">
        <v>1</v>
      </c>
      <c r="X79" s="10">
        <v>1</v>
      </c>
      <c r="Y79" s="10" t="str">
        <f t="shared" si="21"/>
        <v>http://usfh.ch/img/Messer/70102.jpg</v>
      </c>
      <c r="Z79" s="10">
        <f t="shared" si="22"/>
        <v>70102</v>
      </c>
      <c r="AA79" s="13">
        <f t="shared" si="23"/>
        <v>67</v>
      </c>
      <c r="AB79" s="13">
        <f t="shared" si="24"/>
        <v>24.95</v>
      </c>
      <c r="AC79" s="10">
        <v>0.5</v>
      </c>
    </row>
    <row r="80" spans="1:29" s="14" customFormat="1" ht="15" customHeight="1" x14ac:dyDescent="0.25">
      <c r="A80" s="10">
        <v>79</v>
      </c>
      <c r="B80" s="10"/>
      <c r="C80" s="10"/>
      <c r="D80" s="10"/>
      <c r="E80" s="10"/>
      <c r="F80" s="10">
        <v>1</v>
      </c>
      <c r="G80" s="11">
        <v>70108</v>
      </c>
      <c r="H80" s="10">
        <v>1</v>
      </c>
      <c r="I80" s="10" t="s">
        <v>270</v>
      </c>
      <c r="J80" s="10" t="s">
        <v>30</v>
      </c>
      <c r="K80" s="10"/>
      <c r="L80" s="9">
        <v>88</v>
      </c>
      <c r="M80" s="10">
        <v>53</v>
      </c>
      <c r="N80" s="9">
        <v>29.65</v>
      </c>
      <c r="O80" s="10">
        <f t="shared" si="18"/>
        <v>70108</v>
      </c>
      <c r="P80" s="10" t="s">
        <v>44</v>
      </c>
      <c r="Q80" s="10" t="s">
        <v>266</v>
      </c>
      <c r="R80" s="12">
        <v>4050346701129</v>
      </c>
      <c r="S80" s="16" t="s">
        <v>271</v>
      </c>
      <c r="T80" s="10" t="str">
        <f t="shared" si="19"/>
        <v>Original GLOCK Feldmesser grün mit Säge,Accueil,Messer plus,feste Klinge,Haller,Glock</v>
      </c>
      <c r="U80" s="10" t="str">
        <f t="shared" si="20"/>
        <v>Original GLOCK Feldmesser grün mit Säge</v>
      </c>
      <c r="V80" s="10" t="str">
        <f t="shared" si="26"/>
        <v>Original GLOCK Feldmesser grün mit Säge,Accueil,Messer plus,feste Klinge,Haller,Glock</v>
      </c>
      <c r="W80" s="10">
        <v>1</v>
      </c>
      <c r="X80" s="10">
        <v>1</v>
      </c>
      <c r="Y80" s="10" t="str">
        <f t="shared" si="21"/>
        <v>http://usfh.ch/img/Messer/70108.jpg</v>
      </c>
      <c r="Z80" s="10">
        <f t="shared" si="22"/>
        <v>70108</v>
      </c>
      <c r="AA80" s="13">
        <f t="shared" si="23"/>
        <v>88</v>
      </c>
      <c r="AB80" s="13">
        <f t="shared" si="24"/>
        <v>29.65</v>
      </c>
      <c r="AC80" s="10">
        <v>0.5</v>
      </c>
    </row>
    <row r="81" spans="1:29" s="14" customFormat="1" ht="15" customHeight="1" x14ac:dyDescent="0.25">
      <c r="A81" s="10">
        <v>80</v>
      </c>
      <c r="B81" s="10"/>
      <c r="C81" s="10"/>
      <c r="D81" s="10"/>
      <c r="E81" s="10"/>
      <c r="F81" s="10">
        <v>1</v>
      </c>
      <c r="G81" s="11">
        <v>70104</v>
      </c>
      <c r="H81" s="10">
        <v>1</v>
      </c>
      <c r="I81" s="10" t="s">
        <v>272</v>
      </c>
      <c r="J81" s="10" t="s">
        <v>30</v>
      </c>
      <c r="K81" s="10"/>
      <c r="L81" s="9">
        <v>88</v>
      </c>
      <c r="M81" s="10">
        <v>53</v>
      </c>
      <c r="N81" s="9">
        <v>29.65</v>
      </c>
      <c r="O81" s="10">
        <f t="shared" si="18"/>
        <v>70104</v>
      </c>
      <c r="P81" s="10" t="s">
        <v>44</v>
      </c>
      <c r="Q81" s="10" t="s">
        <v>266</v>
      </c>
      <c r="R81" s="12">
        <v>4050346701013</v>
      </c>
      <c r="S81" s="16" t="s">
        <v>273</v>
      </c>
      <c r="T81" s="10" t="str">
        <f t="shared" si="19"/>
        <v>Original GLOCK Feldmesser sandfarben mit Säge,Accueil,Messer plus,feste Klinge,Haller,Glock</v>
      </c>
      <c r="U81" s="10" t="str">
        <f t="shared" si="20"/>
        <v>Original GLOCK Feldmesser sandfarben mit Säge</v>
      </c>
      <c r="V81" s="10" t="str">
        <f t="shared" si="26"/>
        <v>Original GLOCK Feldmesser sandfarben mit Säge,Accueil,Messer plus,feste Klinge,Haller,Glock</v>
      </c>
      <c r="W81" s="10">
        <v>1</v>
      </c>
      <c r="X81" s="10">
        <v>1</v>
      </c>
      <c r="Y81" s="10" t="str">
        <f t="shared" si="21"/>
        <v>http://usfh.ch/img/Messer/70104.jpg</v>
      </c>
      <c r="Z81" s="10">
        <f t="shared" si="22"/>
        <v>70104</v>
      </c>
      <c r="AA81" s="13">
        <f t="shared" si="23"/>
        <v>88</v>
      </c>
      <c r="AB81" s="13">
        <f t="shared" si="24"/>
        <v>29.65</v>
      </c>
      <c r="AC81" s="10">
        <v>0.5</v>
      </c>
    </row>
    <row r="82" spans="1:29" s="14" customFormat="1" ht="15" customHeight="1" x14ac:dyDescent="0.25">
      <c r="A82" s="10">
        <v>81</v>
      </c>
      <c r="B82" s="10"/>
      <c r="C82" s="10">
        <v>1</v>
      </c>
      <c r="D82" s="10"/>
      <c r="E82" s="10"/>
      <c r="F82" s="10">
        <v>1</v>
      </c>
      <c r="G82" s="11">
        <v>831811</v>
      </c>
      <c r="H82" s="10">
        <v>1</v>
      </c>
      <c r="I82" s="16" t="s">
        <v>274</v>
      </c>
      <c r="J82" s="10" t="s">
        <v>27</v>
      </c>
      <c r="K82" s="10"/>
      <c r="L82" s="9">
        <v>48</v>
      </c>
      <c r="M82" s="10">
        <v>53</v>
      </c>
      <c r="N82" s="9">
        <v>22.45</v>
      </c>
      <c r="O82" s="10">
        <f t="shared" si="18"/>
        <v>831811</v>
      </c>
      <c r="P82" s="10" t="s">
        <v>76</v>
      </c>
      <c r="Q82" s="10" t="s">
        <v>138</v>
      </c>
      <c r="R82" s="12"/>
      <c r="S82" s="16" t="s">
        <v>275</v>
      </c>
      <c r="T82" s="10" t="str">
        <f t="shared" si="19"/>
        <v>Eickhorn Pacific PORTHOLE,Accueil,Messer plus,Klappmesser,Linder,Eickhorn</v>
      </c>
      <c r="U82" s="10" t="str">
        <f t="shared" si="20"/>
        <v>Eickhorn Pacific PORTHOLE</v>
      </c>
      <c r="V82" s="10" t="str">
        <f t="shared" si="26"/>
        <v>Eickhorn Pacific PORTHOLE,Accueil,Messer plus,Klappmesser,Linder,Eickhorn</v>
      </c>
      <c r="W82" s="10">
        <v>1</v>
      </c>
      <c r="X82" s="10">
        <v>1</v>
      </c>
      <c r="Y82" s="10" t="str">
        <f t="shared" si="21"/>
        <v>http://usfh.ch/img/Messer/831811.jpg</v>
      </c>
      <c r="Z82" s="10">
        <f t="shared" si="22"/>
        <v>831811</v>
      </c>
      <c r="AA82" s="13">
        <f t="shared" si="23"/>
        <v>48</v>
      </c>
      <c r="AB82" s="13">
        <f t="shared" si="24"/>
        <v>22.45</v>
      </c>
      <c r="AC82" s="10">
        <v>0.5</v>
      </c>
    </row>
    <row r="83" spans="1:29" s="14" customFormat="1" ht="15" customHeight="1" x14ac:dyDescent="0.25">
      <c r="A83" s="10">
        <v>82</v>
      </c>
      <c r="B83" s="10">
        <v>1</v>
      </c>
      <c r="C83" s="10"/>
      <c r="D83" s="10"/>
      <c r="E83" s="10"/>
      <c r="F83" s="10">
        <v>1</v>
      </c>
      <c r="G83" s="11">
        <v>10141882100</v>
      </c>
      <c r="H83" s="10">
        <v>1</v>
      </c>
      <c r="I83" s="10" t="s">
        <v>276</v>
      </c>
      <c r="J83" s="10" t="s">
        <v>27</v>
      </c>
      <c r="K83" s="10"/>
      <c r="L83" s="9">
        <v>43</v>
      </c>
      <c r="M83" s="10">
        <v>53</v>
      </c>
      <c r="N83" s="9">
        <v>19.399999999999999</v>
      </c>
      <c r="O83" s="10">
        <f t="shared" si="18"/>
        <v>10141882100</v>
      </c>
      <c r="P83" s="10" t="s">
        <v>31</v>
      </c>
      <c r="Q83" s="10" t="s">
        <v>35</v>
      </c>
      <c r="R83" s="12"/>
      <c r="S83" s="16" t="s">
        <v>277</v>
      </c>
      <c r="T83" s="10" t="str">
        <f t="shared" si="19"/>
        <v>Extreme Ops CK32C Karambit,Accueil,Messer plus,Klappmesser,Airsoft,Smith &amp; Wesson</v>
      </c>
      <c r="U83" s="10" t="str">
        <f t="shared" si="20"/>
        <v>Extreme Ops CK32C Karambit</v>
      </c>
      <c r="V83" s="10" t="str">
        <f t="shared" si="26"/>
        <v>Extreme Ops CK32C Karambit,Accueil,Messer plus,Klappmesser,Airsoft,Smith &amp; Wesson</v>
      </c>
      <c r="W83" s="10">
        <v>1</v>
      </c>
      <c r="X83" s="10">
        <v>1</v>
      </c>
      <c r="Y83" s="10" t="str">
        <f t="shared" si="21"/>
        <v>http://usfh.ch/img/Messer/10141882100.jpg</v>
      </c>
      <c r="Z83" s="10">
        <f t="shared" si="22"/>
        <v>10141882100</v>
      </c>
      <c r="AA83" s="13">
        <f t="shared" si="23"/>
        <v>43</v>
      </c>
      <c r="AB83" s="13">
        <f t="shared" si="24"/>
        <v>19.399999999999999</v>
      </c>
      <c r="AC83" s="10">
        <v>0.5</v>
      </c>
    </row>
    <row r="84" spans="1:29" s="14" customFormat="1" ht="15" customHeight="1" x14ac:dyDescent="0.25">
      <c r="A84" s="10">
        <v>83</v>
      </c>
      <c r="B84" s="10">
        <v>1</v>
      </c>
      <c r="C84" s="10"/>
      <c r="D84" s="10"/>
      <c r="E84" s="10"/>
      <c r="F84" s="10">
        <v>0</v>
      </c>
      <c r="G84" s="11">
        <v>10145800000</v>
      </c>
      <c r="H84" s="10">
        <v>1</v>
      </c>
      <c r="I84" s="10" t="s">
        <v>278</v>
      </c>
      <c r="J84" s="10" t="s">
        <v>27</v>
      </c>
      <c r="K84" s="10"/>
      <c r="L84" s="9">
        <v>45</v>
      </c>
      <c r="M84" s="10">
        <v>53</v>
      </c>
      <c r="N84" s="9">
        <v>21.3</v>
      </c>
      <c r="O84" s="10">
        <f t="shared" si="18"/>
        <v>10145800000</v>
      </c>
      <c r="P84" s="10" t="s">
        <v>31</v>
      </c>
      <c r="Q84" s="10" t="s">
        <v>35</v>
      </c>
      <c r="R84" s="12"/>
      <c r="S84" s="16" t="s">
        <v>277</v>
      </c>
      <c r="T84" s="10" t="str">
        <f t="shared" si="19"/>
        <v>Extreme Ops CK33 Karambit,Accueil,Messer plus,Klappmesser,Airsoft,Smith &amp; Wesson</v>
      </c>
      <c r="U84" s="10" t="str">
        <f t="shared" si="20"/>
        <v>Extreme Ops CK33 Karambit</v>
      </c>
      <c r="V84" s="10" t="str">
        <f t="shared" si="26"/>
        <v>Extreme Ops CK33 Karambit,Accueil,Messer plus,Klappmesser,Airsoft,Smith &amp; Wesson</v>
      </c>
      <c r="W84" s="10">
        <v>1</v>
      </c>
      <c r="X84" s="10">
        <v>1</v>
      </c>
      <c r="Y84" s="10" t="str">
        <f t="shared" si="21"/>
        <v>http://usfh.ch/img/Messer/10145800000.jpg</v>
      </c>
      <c r="Z84" s="10">
        <f t="shared" si="22"/>
        <v>10145800000</v>
      </c>
      <c r="AA84" s="13">
        <f t="shared" si="23"/>
        <v>0</v>
      </c>
      <c r="AB84" s="13">
        <f t="shared" si="24"/>
        <v>0</v>
      </c>
      <c r="AC84" s="10">
        <v>0.5</v>
      </c>
    </row>
    <row r="85" spans="1:29" s="14" customFormat="1" ht="15" customHeight="1" x14ac:dyDescent="0.25">
      <c r="A85" s="10">
        <v>84</v>
      </c>
      <c r="B85" s="10"/>
      <c r="C85" s="10"/>
      <c r="D85" s="10"/>
      <c r="E85" s="10"/>
      <c r="F85" s="10">
        <v>1</v>
      </c>
      <c r="G85" s="11">
        <v>5227</v>
      </c>
      <c r="H85" s="10">
        <v>1</v>
      </c>
      <c r="I85" s="10" t="s">
        <v>279</v>
      </c>
      <c r="J85" s="10" t="s">
        <v>30</v>
      </c>
      <c r="K85" s="10"/>
      <c r="L85" s="9">
        <v>69</v>
      </c>
      <c r="M85" s="10">
        <v>53</v>
      </c>
      <c r="N85" s="9">
        <v>41.65</v>
      </c>
      <c r="O85" s="10">
        <f t="shared" si="18"/>
        <v>5227</v>
      </c>
      <c r="P85" s="10" t="s">
        <v>31</v>
      </c>
      <c r="Q85" s="10" t="s">
        <v>280</v>
      </c>
      <c r="R85" s="12"/>
      <c r="S85" s="16" t="s">
        <v>281</v>
      </c>
      <c r="T85" s="10" t="str">
        <f t="shared" si="19"/>
        <v>Epic Fixed Blade,Accueil,Messer plus,feste Klinge,Airsoft,Gerber</v>
      </c>
      <c r="U85" s="10" t="str">
        <f t="shared" si="20"/>
        <v>Epic Fixed Blade</v>
      </c>
      <c r="V85" s="10" t="str">
        <f t="shared" si="26"/>
        <v>Epic Fixed Blade,Accueil,Messer plus,feste Klinge,Airsoft,Gerber</v>
      </c>
      <c r="W85" s="10">
        <v>1</v>
      </c>
      <c r="X85" s="10">
        <v>1</v>
      </c>
      <c r="Y85" s="10" t="str">
        <f t="shared" si="21"/>
        <v>http://usfh.ch/img/Messer/5227.jpg</v>
      </c>
      <c r="Z85" s="10">
        <f t="shared" si="22"/>
        <v>5227</v>
      </c>
      <c r="AA85" s="13">
        <f t="shared" si="23"/>
        <v>69</v>
      </c>
      <c r="AB85" s="13">
        <f t="shared" si="24"/>
        <v>41.65</v>
      </c>
      <c r="AC85" s="10">
        <v>0.5</v>
      </c>
    </row>
    <row r="86" spans="1:29" s="14" customFormat="1" ht="15" customHeight="1" x14ac:dyDescent="0.25">
      <c r="A86" s="10">
        <v>85</v>
      </c>
      <c r="B86" s="10"/>
      <c r="C86" s="10"/>
      <c r="D86" s="10"/>
      <c r="E86" s="10"/>
      <c r="F86" s="10">
        <v>1</v>
      </c>
      <c r="G86" s="11">
        <v>20546</v>
      </c>
      <c r="H86" s="10">
        <v>1</v>
      </c>
      <c r="I86" s="10" t="s">
        <v>282</v>
      </c>
      <c r="J86" s="10" t="s">
        <v>30</v>
      </c>
      <c r="K86" s="10"/>
      <c r="L86" s="9">
        <v>49</v>
      </c>
      <c r="M86" s="10">
        <v>53</v>
      </c>
      <c r="N86" s="9">
        <v>27.75</v>
      </c>
      <c r="O86" s="10">
        <f t="shared" si="18"/>
        <v>20546</v>
      </c>
      <c r="P86" s="10" t="s">
        <v>31</v>
      </c>
      <c r="Q86" s="10" t="s">
        <v>283</v>
      </c>
      <c r="R86" s="12"/>
      <c r="S86" s="16" t="s">
        <v>284</v>
      </c>
      <c r="T86" s="10" t="str">
        <f t="shared" si="19"/>
        <v>SCHF46 Tanto Neck Knife,Accueil,Messer plus,feste Klinge,Airsoft,Schrade</v>
      </c>
      <c r="U86" s="10" t="str">
        <f t="shared" si="20"/>
        <v>SCHF46 Tanto Neck Knife</v>
      </c>
      <c r="V86" s="10" t="str">
        <f t="shared" si="26"/>
        <v>SCHF46 Tanto Neck Knife,Accueil,Messer plus,feste Klinge,Airsoft,Schrade</v>
      </c>
      <c r="W86" s="10">
        <v>1</v>
      </c>
      <c r="X86" s="10">
        <v>1</v>
      </c>
      <c r="Y86" s="10" t="str">
        <f t="shared" si="21"/>
        <v>http://usfh.ch/img/Messer/20546.jpg</v>
      </c>
      <c r="Z86" s="10">
        <f t="shared" si="22"/>
        <v>20546</v>
      </c>
      <c r="AA86" s="13">
        <f t="shared" si="23"/>
        <v>49</v>
      </c>
      <c r="AB86" s="13">
        <f t="shared" si="24"/>
        <v>27.75</v>
      </c>
      <c r="AC86" s="10">
        <v>0.5</v>
      </c>
    </row>
    <row r="87" spans="1:29" s="14" customFormat="1" ht="15" customHeight="1" x14ac:dyDescent="0.25">
      <c r="A87" s="10">
        <v>86</v>
      </c>
      <c r="B87" s="10">
        <v>0</v>
      </c>
      <c r="C87" s="10">
        <v>1</v>
      </c>
      <c r="D87" s="10"/>
      <c r="E87" s="10"/>
      <c r="F87" s="10">
        <v>4</v>
      </c>
      <c r="G87" s="11">
        <v>10205000000</v>
      </c>
      <c r="H87" s="10">
        <v>1</v>
      </c>
      <c r="I87" s="10" t="s">
        <v>285</v>
      </c>
      <c r="J87" s="10" t="s">
        <v>27</v>
      </c>
      <c r="K87" s="10"/>
      <c r="L87" s="9">
        <v>35</v>
      </c>
      <c r="M87" s="10">
        <v>53</v>
      </c>
      <c r="N87" s="9">
        <v>13.75</v>
      </c>
      <c r="O87" s="10">
        <f t="shared" si="18"/>
        <v>10205000000</v>
      </c>
      <c r="P87" s="10" t="s">
        <v>31</v>
      </c>
      <c r="Q87" s="10" t="s">
        <v>286</v>
      </c>
      <c r="R87" s="12"/>
      <c r="S87" s="16" t="s">
        <v>287</v>
      </c>
      <c r="T87" s="10" t="str">
        <f t="shared" si="19"/>
        <v>EF102 Folder,Accueil,Messer plus,Klappmesser,Airsoft,Elite Force</v>
      </c>
      <c r="U87" s="10" t="str">
        <f t="shared" si="20"/>
        <v>EF102 Folder</v>
      </c>
      <c r="V87" s="10" t="str">
        <f t="shared" si="26"/>
        <v>EF102 Folder,Accueil,Messer plus,Klappmesser,Airsoft,Elite Force</v>
      </c>
      <c r="W87" s="10">
        <v>1</v>
      </c>
      <c r="X87" s="10">
        <v>1</v>
      </c>
      <c r="Y87" s="10" t="str">
        <f t="shared" si="21"/>
        <v>http://usfh.ch/img/Messer/10205000000.jpg</v>
      </c>
      <c r="Z87" s="10">
        <f t="shared" si="22"/>
        <v>10205000000</v>
      </c>
      <c r="AA87" s="13">
        <f t="shared" si="23"/>
        <v>140</v>
      </c>
      <c r="AB87" s="13">
        <f t="shared" si="24"/>
        <v>55</v>
      </c>
      <c r="AC87" s="10">
        <v>0.5</v>
      </c>
    </row>
    <row r="88" spans="1:29" s="14" customFormat="1" ht="15" customHeight="1" x14ac:dyDescent="0.25">
      <c r="A88" s="10">
        <v>87</v>
      </c>
      <c r="B88" s="10"/>
      <c r="C88" s="10"/>
      <c r="D88" s="10"/>
      <c r="E88" s="10"/>
      <c r="F88" s="10">
        <v>1</v>
      </c>
      <c r="G88" s="11">
        <v>20540</v>
      </c>
      <c r="H88" s="10">
        <v>1</v>
      </c>
      <c r="I88" s="10" t="s">
        <v>288</v>
      </c>
      <c r="J88" s="10" t="s">
        <v>30</v>
      </c>
      <c r="K88" s="10"/>
      <c r="L88" s="9">
        <v>69</v>
      </c>
      <c r="M88" s="10">
        <v>53</v>
      </c>
      <c r="N88" s="9">
        <v>34.299999999999997</v>
      </c>
      <c r="O88" s="10">
        <f t="shared" si="18"/>
        <v>20540</v>
      </c>
      <c r="P88" s="10" t="s">
        <v>31</v>
      </c>
      <c r="Q88" s="10" t="s">
        <v>35</v>
      </c>
      <c r="R88" s="12"/>
      <c r="S88" s="16" t="s">
        <v>289</v>
      </c>
      <c r="T88" s="10" t="str">
        <f t="shared" si="19"/>
        <v>Search &amp; Rescue CKSURTC Fixed Blade,Accueil,Messer plus,feste Klinge,Airsoft,Smith &amp; Wesson</v>
      </c>
      <c r="U88" s="10" t="str">
        <f t="shared" si="20"/>
        <v>Search &amp; Rescue CKSURTC Fixed Blade</v>
      </c>
      <c r="V88" s="10" t="str">
        <f t="shared" ref="V88:V97" si="27">T88</f>
        <v>Search &amp; Rescue CKSURTC Fixed Blade,Accueil,Messer plus,feste Klinge,Airsoft,Smith &amp; Wesson</v>
      </c>
      <c r="W88" s="10">
        <v>1</v>
      </c>
      <c r="X88" s="10">
        <v>1</v>
      </c>
      <c r="Y88" s="10" t="str">
        <f t="shared" si="21"/>
        <v>http://usfh.ch/img/Messer/20540.jpg</v>
      </c>
      <c r="Z88" s="10">
        <f t="shared" si="22"/>
        <v>20540</v>
      </c>
      <c r="AA88" s="13">
        <f t="shared" si="23"/>
        <v>69</v>
      </c>
      <c r="AB88" s="13">
        <f t="shared" si="24"/>
        <v>34.299999999999997</v>
      </c>
      <c r="AC88" s="10">
        <v>0.5</v>
      </c>
    </row>
    <row r="89" spans="1:29" s="14" customFormat="1" ht="15" customHeight="1" x14ac:dyDescent="0.25">
      <c r="A89" s="10">
        <v>88</v>
      </c>
      <c r="B89" s="10"/>
      <c r="C89" s="10"/>
      <c r="D89" s="10"/>
      <c r="E89" s="10"/>
      <c r="F89" s="10">
        <v>1</v>
      </c>
      <c r="G89" s="11">
        <v>14945</v>
      </c>
      <c r="H89" s="10">
        <v>1</v>
      </c>
      <c r="I89" s="10" t="s">
        <v>290</v>
      </c>
      <c r="J89" s="10" t="s">
        <v>30</v>
      </c>
      <c r="K89" s="10"/>
      <c r="L89" s="9">
        <v>69</v>
      </c>
      <c r="M89" s="10">
        <v>53</v>
      </c>
      <c r="N89" s="9">
        <v>34.299999999999997</v>
      </c>
      <c r="O89" s="10">
        <f t="shared" si="18"/>
        <v>14945</v>
      </c>
      <c r="P89" s="10" t="s">
        <v>31</v>
      </c>
      <c r="Q89" s="10" t="s">
        <v>35</v>
      </c>
      <c r="R89" s="12"/>
      <c r="S89" s="16" t="s">
        <v>291</v>
      </c>
      <c r="T89" s="10" t="str">
        <f t="shared" si="19"/>
        <v>Search &amp; Rescue CKSURT Fixed Blade,Accueil,Messer plus,feste Klinge,Airsoft,Smith &amp; Wesson</v>
      </c>
      <c r="U89" s="10" t="str">
        <f t="shared" si="20"/>
        <v>Search &amp; Rescue CKSURT Fixed Blade</v>
      </c>
      <c r="V89" s="10" t="str">
        <f t="shared" si="27"/>
        <v>Search &amp; Rescue CKSURT Fixed Blade,Accueil,Messer plus,feste Klinge,Airsoft,Smith &amp; Wesson</v>
      </c>
      <c r="W89" s="10">
        <v>1</v>
      </c>
      <c r="X89" s="10">
        <v>1</v>
      </c>
      <c r="Y89" s="10" t="str">
        <f t="shared" si="21"/>
        <v>http://usfh.ch/img/Messer/14945.jpg</v>
      </c>
      <c r="Z89" s="10">
        <f t="shared" si="22"/>
        <v>14945</v>
      </c>
      <c r="AA89" s="13">
        <f t="shared" si="23"/>
        <v>69</v>
      </c>
      <c r="AB89" s="13">
        <f t="shared" si="24"/>
        <v>34.299999999999997</v>
      </c>
      <c r="AC89" s="10">
        <v>0.5</v>
      </c>
    </row>
    <row r="90" spans="1:29" s="14" customFormat="1" ht="15" customHeight="1" x14ac:dyDescent="0.25">
      <c r="A90" s="10">
        <v>89</v>
      </c>
      <c r="B90" s="10"/>
      <c r="C90" s="10"/>
      <c r="D90" s="10"/>
      <c r="E90" s="10"/>
      <c r="F90" s="10">
        <v>0</v>
      </c>
      <c r="G90" s="11" t="s">
        <v>292</v>
      </c>
      <c r="H90" s="10">
        <v>1</v>
      </c>
      <c r="I90" s="10" t="s">
        <v>293</v>
      </c>
      <c r="J90" s="10" t="s">
        <v>30</v>
      </c>
      <c r="K90" s="10"/>
      <c r="L90" s="9">
        <v>99</v>
      </c>
      <c r="M90" s="10">
        <v>53</v>
      </c>
      <c r="N90" s="9">
        <v>47.9</v>
      </c>
      <c r="O90" s="10" t="str">
        <f t="shared" si="18"/>
        <v>CRK910kkp</v>
      </c>
      <c r="P90" s="10" t="s">
        <v>119</v>
      </c>
      <c r="Q90" s="10" t="s">
        <v>153</v>
      </c>
      <c r="R90" s="12"/>
      <c r="S90" s="16" t="s">
        <v>294</v>
      </c>
      <c r="T90" s="10" t="str">
        <f t="shared" si="19"/>
        <v>CHANCEINHELL MACHETE,Accueil,Messer plus,feste Klinge,Klötzli,CRKT</v>
      </c>
      <c r="U90" s="10" t="str">
        <f t="shared" si="20"/>
        <v>CHANCEINHELL MACHETE</v>
      </c>
      <c r="V90" s="10" t="str">
        <f t="shared" si="27"/>
        <v>CHANCEINHELL MACHETE,Accueil,Messer plus,feste Klinge,Klötzli,CRKT</v>
      </c>
      <c r="W90" s="10">
        <v>1</v>
      </c>
      <c r="X90" s="10">
        <v>1</v>
      </c>
      <c r="Y90" s="10" t="str">
        <f t="shared" si="21"/>
        <v>http://usfh.ch/img/Messer/CRK910kkp.jpg</v>
      </c>
      <c r="Z90" s="10" t="str">
        <f t="shared" si="22"/>
        <v>CRK910kkp</v>
      </c>
      <c r="AA90" s="13">
        <f t="shared" si="23"/>
        <v>0</v>
      </c>
      <c r="AB90" s="13">
        <f t="shared" si="24"/>
        <v>0</v>
      </c>
      <c r="AC90" s="10">
        <v>0.5</v>
      </c>
    </row>
    <row r="91" spans="1:29" s="14" customFormat="1" ht="15" customHeight="1" x14ac:dyDescent="0.25">
      <c r="A91" s="10">
        <v>90</v>
      </c>
      <c r="B91" s="10"/>
      <c r="C91" s="10"/>
      <c r="D91" s="10"/>
      <c r="E91" s="10"/>
      <c r="F91" s="10">
        <v>1</v>
      </c>
      <c r="G91" s="11">
        <v>13848</v>
      </c>
      <c r="H91" s="10">
        <v>1</v>
      </c>
      <c r="I91" s="10" t="s">
        <v>295</v>
      </c>
      <c r="J91" s="10" t="s">
        <v>27</v>
      </c>
      <c r="K91" s="10"/>
      <c r="L91" s="9">
        <v>29</v>
      </c>
      <c r="M91" s="10">
        <v>53</v>
      </c>
      <c r="N91" s="9">
        <v>14.7</v>
      </c>
      <c r="O91" s="10">
        <f t="shared" ref="O91:O99" si="28">G91</f>
        <v>13848</v>
      </c>
      <c r="P91" s="10" t="s">
        <v>31</v>
      </c>
      <c r="Q91" s="10" t="s">
        <v>280</v>
      </c>
      <c r="R91" s="12"/>
      <c r="S91" s="16" t="s">
        <v>296</v>
      </c>
      <c r="T91" s="10" t="str">
        <f t="shared" ref="T91:T99" si="29">$I91 &amp; "," &amp; $J91 &amp;"," &amp; $P91 &amp;","&amp; $Q91</f>
        <v>Bear Grylls Pocket Tool,Accueil,Messer plus,Klappmesser,Airsoft,Gerber</v>
      </c>
      <c r="U91" s="10" t="str">
        <f t="shared" ref="U91:U99" si="30">I91</f>
        <v>Bear Grylls Pocket Tool</v>
      </c>
      <c r="V91" s="10" t="str">
        <f t="shared" si="27"/>
        <v>Bear Grylls Pocket Tool,Accueil,Messer plus,Klappmesser,Airsoft,Gerber</v>
      </c>
      <c r="W91" s="10">
        <v>1</v>
      </c>
      <c r="X91" s="10">
        <v>1</v>
      </c>
      <c r="Y91" s="10" t="str">
        <f t="shared" ref="Y91:Y99" si="31" xml:space="preserve"> "http://usfh.ch/img/Messer/" &amp; G91 &amp; ".jpg"</f>
        <v>http://usfh.ch/img/Messer/13848.jpg</v>
      </c>
      <c r="Z91" s="10">
        <f t="shared" ref="Z91:Z99" si="32">G91</f>
        <v>13848</v>
      </c>
      <c r="AA91" s="13">
        <f t="shared" ref="AA91:AA99" si="33">F91*L91</f>
        <v>29</v>
      </c>
      <c r="AB91" s="13">
        <f t="shared" ref="AB91:AB99" si="34">F91*N91</f>
        <v>14.7</v>
      </c>
      <c r="AC91" s="10">
        <v>0.5</v>
      </c>
    </row>
    <row r="92" spans="1:29" s="14" customFormat="1" ht="15" customHeight="1" x14ac:dyDescent="0.25">
      <c r="A92" s="10">
        <v>91</v>
      </c>
      <c r="B92" s="10"/>
      <c r="C92" s="10"/>
      <c r="D92" s="10"/>
      <c r="E92" s="10"/>
      <c r="F92" s="10">
        <v>3</v>
      </c>
      <c r="G92" s="11">
        <v>9179</v>
      </c>
      <c r="H92" s="10">
        <v>1</v>
      </c>
      <c r="I92" s="10" t="s">
        <v>297</v>
      </c>
      <c r="J92" s="10" t="s">
        <v>27</v>
      </c>
      <c r="K92" s="10"/>
      <c r="L92" s="9">
        <v>39</v>
      </c>
      <c r="M92" s="10">
        <v>53</v>
      </c>
      <c r="N92" s="9">
        <v>21</v>
      </c>
      <c r="O92" s="10">
        <f t="shared" si="28"/>
        <v>9179</v>
      </c>
      <c r="P92" s="10" t="s">
        <v>31</v>
      </c>
      <c r="Q92" s="10" t="s">
        <v>280</v>
      </c>
      <c r="R92" s="12"/>
      <c r="S92" s="16" t="s">
        <v>298</v>
      </c>
      <c r="T92" s="10" t="str">
        <f t="shared" si="29"/>
        <v>Bear Grylls Survival Basic Kit,Accueil,Messer plus,Klappmesser,Airsoft,Gerber</v>
      </c>
      <c r="U92" s="10" t="str">
        <f t="shared" si="30"/>
        <v>Bear Grylls Survival Basic Kit</v>
      </c>
      <c r="V92" s="10" t="str">
        <f t="shared" si="27"/>
        <v>Bear Grylls Survival Basic Kit,Accueil,Messer plus,Klappmesser,Airsoft,Gerber</v>
      </c>
      <c r="W92" s="10">
        <v>1</v>
      </c>
      <c r="X92" s="10">
        <v>1</v>
      </c>
      <c r="Y92" s="10" t="str">
        <f t="shared" si="31"/>
        <v>http://usfh.ch/img/Messer/9179.jpg</v>
      </c>
      <c r="Z92" s="10">
        <f t="shared" si="32"/>
        <v>9179</v>
      </c>
      <c r="AA92" s="13">
        <f t="shared" si="33"/>
        <v>117</v>
      </c>
      <c r="AB92" s="13">
        <f t="shared" si="34"/>
        <v>63</v>
      </c>
      <c r="AC92" s="10">
        <v>0.5</v>
      </c>
    </row>
    <row r="93" spans="1:29" s="14" customFormat="1" ht="15" customHeight="1" x14ac:dyDescent="0.25">
      <c r="A93" s="10">
        <v>92</v>
      </c>
      <c r="B93" s="10">
        <v>1</v>
      </c>
      <c r="C93" s="10">
        <v>0</v>
      </c>
      <c r="D93" s="10"/>
      <c r="E93" s="10"/>
      <c r="F93" s="10">
        <v>1</v>
      </c>
      <c r="G93" s="11">
        <v>21111</v>
      </c>
      <c r="H93" s="10">
        <v>1</v>
      </c>
      <c r="I93" s="10" t="s">
        <v>299</v>
      </c>
      <c r="J93" s="10" t="s">
        <v>27</v>
      </c>
      <c r="K93" s="10"/>
      <c r="L93" s="9">
        <v>39</v>
      </c>
      <c r="M93" s="10">
        <v>53</v>
      </c>
      <c r="N93" s="9">
        <v>18.850000000000001</v>
      </c>
      <c r="O93" s="10">
        <f t="shared" si="28"/>
        <v>21111</v>
      </c>
      <c r="P93" s="10" t="s">
        <v>31</v>
      </c>
      <c r="Q93" s="10" t="s">
        <v>32</v>
      </c>
      <c r="R93" s="12"/>
      <c r="S93" s="16" t="s">
        <v>300</v>
      </c>
      <c r="T93" s="10" t="str">
        <f t="shared" si="29"/>
        <v>Karambit Defense Folder,Accueil,Messer plus,Klappmesser,Airsoft,Walther</v>
      </c>
      <c r="U93" s="10" t="str">
        <f t="shared" si="30"/>
        <v>Karambit Defense Folder</v>
      </c>
      <c r="V93" s="10" t="str">
        <f t="shared" si="27"/>
        <v>Karambit Defense Folder,Accueil,Messer plus,Klappmesser,Airsoft,Walther</v>
      </c>
      <c r="W93" s="10">
        <v>1</v>
      </c>
      <c r="X93" s="10">
        <v>1</v>
      </c>
      <c r="Y93" s="10" t="str">
        <f t="shared" si="31"/>
        <v>http://usfh.ch/img/Messer/21111.jpg</v>
      </c>
      <c r="Z93" s="10">
        <f t="shared" si="32"/>
        <v>21111</v>
      </c>
      <c r="AA93" s="13">
        <f t="shared" si="33"/>
        <v>39</v>
      </c>
      <c r="AB93" s="13">
        <f t="shared" si="34"/>
        <v>18.850000000000001</v>
      </c>
      <c r="AC93" s="10">
        <v>0.5</v>
      </c>
    </row>
    <row r="94" spans="1:29" s="14" customFormat="1" ht="15" customHeight="1" x14ac:dyDescent="0.25">
      <c r="A94" s="10">
        <v>93</v>
      </c>
      <c r="B94" s="10">
        <v>1</v>
      </c>
      <c r="C94" s="10"/>
      <c r="D94" s="10"/>
      <c r="E94" s="10"/>
      <c r="F94" s="10">
        <v>1</v>
      </c>
      <c r="G94" s="11">
        <v>11434</v>
      </c>
      <c r="H94" s="10">
        <v>1</v>
      </c>
      <c r="I94" s="10" t="s">
        <v>301</v>
      </c>
      <c r="J94" s="10" t="s">
        <v>30</v>
      </c>
      <c r="K94" s="10"/>
      <c r="L94" s="9">
        <v>59</v>
      </c>
      <c r="M94" s="10">
        <v>53</v>
      </c>
      <c r="N94" s="9">
        <v>28.45</v>
      </c>
      <c r="O94" s="10">
        <f t="shared" si="28"/>
        <v>11434</v>
      </c>
      <c r="P94" s="10" t="s">
        <v>31</v>
      </c>
      <c r="Q94" s="10" t="s">
        <v>181</v>
      </c>
      <c r="R94" s="12"/>
      <c r="S94" s="16" t="s">
        <v>302</v>
      </c>
      <c r="T94" s="10" t="str">
        <f t="shared" si="29"/>
        <v>Neck Knife,Accueil,Messer plus,feste Klinge,Airsoft,Claw Gear</v>
      </c>
      <c r="U94" s="10" t="str">
        <f t="shared" si="30"/>
        <v>Neck Knife</v>
      </c>
      <c r="V94" s="10" t="str">
        <f t="shared" si="27"/>
        <v>Neck Knife,Accueil,Messer plus,feste Klinge,Airsoft,Claw Gear</v>
      </c>
      <c r="W94" s="10">
        <v>1</v>
      </c>
      <c r="X94" s="10">
        <v>1</v>
      </c>
      <c r="Y94" s="10" t="str">
        <f t="shared" si="31"/>
        <v>http://usfh.ch/img/Messer/11434.jpg</v>
      </c>
      <c r="Z94" s="10">
        <f t="shared" si="32"/>
        <v>11434</v>
      </c>
      <c r="AA94" s="13">
        <f t="shared" si="33"/>
        <v>59</v>
      </c>
      <c r="AB94" s="13">
        <f t="shared" si="34"/>
        <v>28.45</v>
      </c>
      <c r="AC94" s="10">
        <v>0.5</v>
      </c>
    </row>
    <row r="95" spans="1:29" s="14" customFormat="1" ht="15" customHeight="1" x14ac:dyDescent="0.25">
      <c r="A95" s="10">
        <v>94</v>
      </c>
      <c r="B95" s="10"/>
      <c r="C95" s="10"/>
      <c r="D95" s="10"/>
      <c r="E95" s="10"/>
      <c r="F95" s="10">
        <v>2</v>
      </c>
      <c r="G95" s="11" t="s">
        <v>303</v>
      </c>
      <c r="H95" s="10">
        <v>1</v>
      </c>
      <c r="I95" s="10" t="s">
        <v>304</v>
      </c>
      <c r="J95" s="10" t="s">
        <v>197</v>
      </c>
      <c r="K95" s="10"/>
      <c r="L95" s="9">
        <v>136</v>
      </c>
      <c r="M95" s="10">
        <v>53</v>
      </c>
      <c r="N95" s="9">
        <v>63.1</v>
      </c>
      <c r="O95" s="10" t="str">
        <f t="shared" si="28"/>
        <v>09SR002</v>
      </c>
      <c r="P95" s="10" t="s">
        <v>40</v>
      </c>
      <c r="Q95" s="10" t="s">
        <v>198</v>
      </c>
      <c r="R95" s="12">
        <v>4045011076084</v>
      </c>
      <c r="S95" s="16" t="s">
        <v>305</v>
      </c>
      <c r="T95" s="10" t="str">
        <f t="shared" si="29"/>
        <v>Long Life 28,Accueil,Messer plus,Messerschärfer,Böker,Sieger</v>
      </c>
      <c r="U95" s="10" t="str">
        <f t="shared" si="30"/>
        <v>Long Life 28</v>
      </c>
      <c r="V95" s="10" t="str">
        <f t="shared" si="27"/>
        <v>Long Life 28,Accueil,Messer plus,Messerschärfer,Böker,Sieger</v>
      </c>
      <c r="W95" s="10">
        <v>1</v>
      </c>
      <c r="X95" s="10">
        <v>1</v>
      </c>
      <c r="Y95" s="10" t="str">
        <f t="shared" si="31"/>
        <v>http://usfh.ch/img/Messer/09SR002.jpg</v>
      </c>
      <c r="Z95" s="10" t="str">
        <f t="shared" si="32"/>
        <v>09SR002</v>
      </c>
      <c r="AA95" s="13">
        <f t="shared" si="33"/>
        <v>272</v>
      </c>
      <c r="AB95" s="13">
        <f t="shared" si="34"/>
        <v>126.2</v>
      </c>
      <c r="AC95" s="10">
        <v>0.5</v>
      </c>
    </row>
    <row r="96" spans="1:29" s="14" customFormat="1" ht="15" customHeight="1" x14ac:dyDescent="0.25">
      <c r="A96" s="10">
        <v>95</v>
      </c>
      <c r="B96" s="10"/>
      <c r="C96" s="10"/>
      <c r="D96" s="10"/>
      <c r="E96" s="10"/>
      <c r="F96" s="10">
        <v>6</v>
      </c>
      <c r="G96" s="11">
        <v>84698</v>
      </c>
      <c r="H96" s="10">
        <v>1</v>
      </c>
      <c r="I96" s="10" t="s">
        <v>306</v>
      </c>
      <c r="J96" s="10" t="s">
        <v>27</v>
      </c>
      <c r="K96" s="10"/>
      <c r="L96" s="9">
        <v>19</v>
      </c>
      <c r="M96" s="10">
        <v>53</v>
      </c>
      <c r="N96" s="9">
        <v>4.95</v>
      </c>
      <c r="O96" s="10">
        <f t="shared" si="28"/>
        <v>84698</v>
      </c>
      <c r="P96" s="10" t="s">
        <v>44</v>
      </c>
      <c r="Q96" s="10" t="s">
        <v>44</v>
      </c>
      <c r="R96" s="12">
        <v>4050346846981</v>
      </c>
      <c r="S96" s="16" t="s">
        <v>307</v>
      </c>
      <c r="T96" s="10" t="str">
        <f t="shared" si="29"/>
        <v>Mini-Taschenmesser,Accueil,Messer plus,Klappmesser,Haller,Haller</v>
      </c>
      <c r="U96" s="10" t="str">
        <f t="shared" si="30"/>
        <v>Mini-Taschenmesser</v>
      </c>
      <c r="V96" s="10" t="str">
        <f t="shared" si="27"/>
        <v>Mini-Taschenmesser,Accueil,Messer plus,Klappmesser,Haller,Haller</v>
      </c>
      <c r="W96" s="10">
        <v>1</v>
      </c>
      <c r="X96" s="10">
        <v>1</v>
      </c>
      <c r="Y96" s="17" t="str">
        <f t="shared" si="31"/>
        <v>http://usfh.ch/img/Messer/84698.jpg</v>
      </c>
      <c r="Z96" s="10">
        <f t="shared" si="32"/>
        <v>84698</v>
      </c>
      <c r="AA96" s="13">
        <f t="shared" si="33"/>
        <v>114</v>
      </c>
      <c r="AB96" s="13">
        <f t="shared" si="34"/>
        <v>29.700000000000003</v>
      </c>
      <c r="AC96" s="10">
        <v>0.5</v>
      </c>
    </row>
    <row r="97" spans="1:29" s="14" customFormat="1" ht="15" customHeight="1" x14ac:dyDescent="0.25">
      <c r="A97" s="10">
        <v>96</v>
      </c>
      <c r="B97" s="10"/>
      <c r="C97" s="10"/>
      <c r="D97" s="10"/>
      <c r="E97" s="10"/>
      <c r="F97" s="10">
        <v>1</v>
      </c>
      <c r="G97" s="11">
        <v>83540</v>
      </c>
      <c r="H97" s="10">
        <v>1</v>
      </c>
      <c r="I97" s="10" t="s">
        <v>308</v>
      </c>
      <c r="J97" s="10" t="s">
        <v>158</v>
      </c>
      <c r="K97" s="10"/>
      <c r="L97" s="9">
        <v>39</v>
      </c>
      <c r="M97" s="10">
        <v>53</v>
      </c>
      <c r="N97" s="9">
        <v>11.85</v>
      </c>
      <c r="O97" s="10">
        <f t="shared" si="28"/>
        <v>83540</v>
      </c>
      <c r="P97" s="10" t="s">
        <v>44</v>
      </c>
      <c r="Q97" s="10" t="s">
        <v>44</v>
      </c>
      <c r="R97" s="12">
        <v>4050346835404</v>
      </c>
      <c r="S97" s="16" t="s">
        <v>309</v>
      </c>
      <c r="T97" s="10" t="str">
        <f t="shared" si="29"/>
        <v>Filetiermesser Griff orange/camo,Accueil,Messer plus,Filetiermesser,Haller,Haller</v>
      </c>
      <c r="U97" s="10" t="str">
        <f t="shared" si="30"/>
        <v>Filetiermesser Griff orange/camo</v>
      </c>
      <c r="V97" s="10" t="str">
        <f t="shared" si="27"/>
        <v>Filetiermesser Griff orange/camo,Accueil,Messer plus,Filetiermesser,Haller,Haller</v>
      </c>
      <c r="W97" s="10">
        <v>1</v>
      </c>
      <c r="X97" s="10">
        <v>1</v>
      </c>
      <c r="Y97" s="17" t="str">
        <f t="shared" si="31"/>
        <v>http://usfh.ch/img/Messer/83540.jpg</v>
      </c>
      <c r="Z97" s="10">
        <f t="shared" si="32"/>
        <v>83540</v>
      </c>
      <c r="AA97" s="13">
        <f t="shared" si="33"/>
        <v>39</v>
      </c>
      <c r="AB97" s="13">
        <f t="shared" si="34"/>
        <v>11.85</v>
      </c>
      <c r="AC97" s="10">
        <v>0.5</v>
      </c>
    </row>
    <row r="98" spans="1:29" s="14" customFormat="1" ht="15" customHeight="1" x14ac:dyDescent="0.25">
      <c r="A98" s="10">
        <v>97</v>
      </c>
      <c r="B98" s="10"/>
      <c r="C98" s="10"/>
      <c r="D98" s="10"/>
      <c r="E98" s="10"/>
      <c r="F98" s="10">
        <v>1</v>
      </c>
      <c r="G98" s="11" t="s">
        <v>313</v>
      </c>
      <c r="H98" s="10">
        <v>1</v>
      </c>
      <c r="I98" s="10" t="s">
        <v>314</v>
      </c>
      <c r="J98" s="10" t="s">
        <v>30</v>
      </c>
      <c r="K98" s="10"/>
      <c r="L98" s="9">
        <v>53</v>
      </c>
      <c r="M98" s="10">
        <v>53</v>
      </c>
      <c r="N98" s="9">
        <v>25</v>
      </c>
      <c r="O98" s="10" t="str">
        <f t="shared" si="28"/>
        <v>02US012</v>
      </c>
      <c r="P98" s="10" t="s">
        <v>40</v>
      </c>
      <c r="Q98" s="10" t="s">
        <v>221</v>
      </c>
      <c r="R98" s="12">
        <v>4045011097553</v>
      </c>
      <c r="S98" s="16" t="s">
        <v>315</v>
      </c>
      <c r="T98" s="10" t="str">
        <f t="shared" si="29"/>
        <v>US Marines Stealth,Accueil,Messer plus,feste Klinge,Böker,USMC</v>
      </c>
      <c r="U98" s="10" t="str">
        <f t="shared" si="30"/>
        <v>US Marines Stealth</v>
      </c>
      <c r="V98" s="10" t="str">
        <f t="shared" ref="V98:V99" si="35">T98</f>
        <v>US Marines Stealth,Accueil,Messer plus,feste Klinge,Böker,USMC</v>
      </c>
      <c r="W98" s="10">
        <v>1</v>
      </c>
      <c r="X98" s="10">
        <v>1</v>
      </c>
      <c r="Y98" s="17" t="str">
        <f t="shared" si="31"/>
        <v>http://usfh.ch/img/Messer/02US012.jpg</v>
      </c>
      <c r="Z98" s="10" t="str">
        <f t="shared" si="32"/>
        <v>02US012</v>
      </c>
      <c r="AA98" s="13">
        <f t="shared" si="33"/>
        <v>53</v>
      </c>
      <c r="AB98" s="13">
        <f t="shared" si="34"/>
        <v>25</v>
      </c>
      <c r="AC98" s="10">
        <v>0.5</v>
      </c>
    </row>
    <row r="99" spans="1:29" s="14" customFormat="1" ht="15" customHeight="1" x14ac:dyDescent="0.25">
      <c r="A99" s="10">
        <v>98</v>
      </c>
      <c r="B99" s="10"/>
      <c r="C99" s="10"/>
      <c r="D99" s="10"/>
      <c r="E99" s="10"/>
      <c r="F99" s="10">
        <v>1</v>
      </c>
      <c r="G99" s="11">
        <v>20529</v>
      </c>
      <c r="H99" s="10">
        <v>1</v>
      </c>
      <c r="I99" s="10" t="s">
        <v>316</v>
      </c>
      <c r="J99" s="10" t="s">
        <v>27</v>
      </c>
      <c r="K99" s="10"/>
      <c r="L99" s="9">
        <v>49</v>
      </c>
      <c r="M99" s="10">
        <v>53</v>
      </c>
      <c r="N99" s="9">
        <v>27.15</v>
      </c>
      <c r="O99" s="10">
        <f t="shared" si="28"/>
        <v>20529</v>
      </c>
      <c r="P99" s="10" t="s">
        <v>31</v>
      </c>
      <c r="Q99" s="10" t="s">
        <v>283</v>
      </c>
      <c r="R99" s="12"/>
      <c r="S99" s="16" t="s">
        <v>317</v>
      </c>
      <c r="T99" s="10" t="str">
        <f t="shared" si="29"/>
        <v>SCH110 Karambit Folder,Accueil,Messer plus,Klappmesser,Airsoft,Schrade</v>
      </c>
      <c r="U99" s="10" t="str">
        <f t="shared" si="30"/>
        <v>SCH110 Karambit Folder</v>
      </c>
      <c r="V99" s="10" t="str">
        <f t="shared" si="35"/>
        <v>SCH110 Karambit Folder,Accueil,Messer plus,Klappmesser,Airsoft,Schrade</v>
      </c>
      <c r="W99" s="10">
        <v>1</v>
      </c>
      <c r="X99" s="10">
        <v>1</v>
      </c>
      <c r="Y99" s="17" t="str">
        <f t="shared" si="31"/>
        <v>http://usfh.ch/img/Messer/20529.jpg</v>
      </c>
      <c r="Z99" s="10">
        <f t="shared" si="32"/>
        <v>20529</v>
      </c>
      <c r="AA99" s="13">
        <f t="shared" si="33"/>
        <v>49</v>
      </c>
      <c r="AB99" s="13">
        <f t="shared" si="34"/>
        <v>27.15</v>
      </c>
      <c r="AC99" s="10">
        <v>0.5</v>
      </c>
    </row>
    <row r="100" spans="1:29" s="14" customFormat="1" ht="15" customHeight="1" x14ac:dyDescent="0.25">
      <c r="A100" s="10">
        <v>99</v>
      </c>
      <c r="B100" s="10"/>
      <c r="C100" s="10"/>
      <c r="D100" s="10"/>
      <c r="E100" s="10"/>
      <c r="F100" s="10">
        <v>2</v>
      </c>
      <c r="G100" s="11" t="s">
        <v>318</v>
      </c>
      <c r="H100" s="10">
        <v>1</v>
      </c>
      <c r="I100" s="10" t="s">
        <v>319</v>
      </c>
      <c r="J100" s="10" t="s">
        <v>27</v>
      </c>
      <c r="K100" s="10"/>
      <c r="L100" s="9">
        <v>119</v>
      </c>
      <c r="M100" s="10">
        <v>49</v>
      </c>
      <c r="N100" s="9">
        <v>60</v>
      </c>
      <c r="O100" s="10" t="str">
        <f>G100</f>
        <v>CST-26SP</v>
      </c>
      <c r="P100" s="10" t="s">
        <v>67</v>
      </c>
      <c r="Q100" s="10" t="s">
        <v>67</v>
      </c>
      <c r="R100" s="12"/>
      <c r="S100" s="16" t="s">
        <v>320</v>
      </c>
      <c r="T100" s="10" t="str">
        <f>$I100 &amp; "," &amp; $J100 &amp;"," &amp; $P100 &amp;","&amp; $Q100</f>
        <v>Taschenmesser Ti-Lite, 4-Zoll-Klinge, Edelstahl, Zy-Ex-Griff,Accueil,Messer plus,Klappmesser,Coldsteel,Coldsteel</v>
      </c>
      <c r="U100" s="10" t="str">
        <f>I100</f>
        <v>Taschenmesser Ti-Lite, 4-Zoll-Klinge, Edelstahl, Zy-Ex-Griff</v>
      </c>
      <c r="V100" s="10" t="str">
        <f>T100</f>
        <v>Taschenmesser Ti-Lite, 4-Zoll-Klinge, Edelstahl, Zy-Ex-Griff,Accueil,Messer plus,Klappmesser,Coldsteel,Coldsteel</v>
      </c>
      <c r="W100" s="10">
        <v>1</v>
      </c>
      <c r="X100" s="10">
        <v>1</v>
      </c>
      <c r="Y100" s="17" t="str">
        <f xml:space="preserve"> "http://usfh.ch/img/Messer/" &amp; G100 &amp; ".jpg"</f>
        <v>http://usfh.ch/img/Messer/CST-26SP.jpg</v>
      </c>
      <c r="Z100" s="10" t="str">
        <f>G100</f>
        <v>CST-26SP</v>
      </c>
      <c r="AA100" s="13">
        <f>F100*L100</f>
        <v>238</v>
      </c>
      <c r="AB100" s="13">
        <f>F100*N100</f>
        <v>120</v>
      </c>
      <c r="AC100" s="10">
        <v>0.5</v>
      </c>
    </row>
    <row r="101" spans="1:29" s="14" customFormat="1" ht="15" customHeight="1" x14ac:dyDescent="0.25">
      <c r="A101" s="10">
        <v>100</v>
      </c>
      <c r="B101" s="10"/>
      <c r="C101" s="10"/>
      <c r="D101" s="10"/>
      <c r="E101" s="10"/>
      <c r="F101" s="10">
        <v>0</v>
      </c>
      <c r="G101" s="11">
        <v>41490</v>
      </c>
      <c r="H101" s="10">
        <v>1</v>
      </c>
      <c r="I101" s="10" t="s">
        <v>322</v>
      </c>
      <c r="J101" s="10" t="s">
        <v>30</v>
      </c>
      <c r="K101" s="10"/>
      <c r="L101" s="9">
        <v>79</v>
      </c>
      <c r="M101" s="10">
        <v>53</v>
      </c>
      <c r="N101" s="9">
        <v>37.950000000000003</v>
      </c>
      <c r="O101" s="10">
        <f t="shared" ref="O101:O129" si="36">G101</f>
        <v>41490</v>
      </c>
      <c r="P101" s="10" t="s">
        <v>44</v>
      </c>
      <c r="Q101" s="10" t="s">
        <v>209</v>
      </c>
      <c r="R101" s="12">
        <v>4050346414906</v>
      </c>
      <c r="S101" s="16" t="s">
        <v>323</v>
      </c>
      <c r="T101" s="10" t="str">
        <f t="shared" ref="T101:T129" si="37">$I101 &amp; "," &amp; $J101 &amp;"," &amp; $P101 &amp;","&amp; $Q101</f>
        <v>BlackField Carrier F22 ,Accueil,Messer plus,feste Klinge,Haller,Blackfield</v>
      </c>
      <c r="U101" s="10" t="str">
        <f t="shared" ref="U101:U129" si="38">I101</f>
        <v xml:space="preserve">BlackField Carrier F22 </v>
      </c>
      <c r="V101" s="10" t="str">
        <f t="shared" ref="V101:V106" si="39">T101</f>
        <v>BlackField Carrier F22 ,Accueil,Messer plus,feste Klinge,Haller,Blackfield</v>
      </c>
      <c r="W101" s="10">
        <v>1</v>
      </c>
      <c r="X101" s="10">
        <v>1</v>
      </c>
      <c r="Y101" s="17" t="str">
        <f t="shared" ref="Y101:Y129" si="40" xml:space="preserve"> "http://usfh.ch/img/Messer/" &amp; G101 &amp; ".jpg"</f>
        <v>http://usfh.ch/img/Messer/41490.jpg</v>
      </c>
      <c r="Z101" s="10">
        <f t="shared" ref="Z101:Z129" si="41">G101</f>
        <v>41490</v>
      </c>
      <c r="AA101" s="13">
        <f t="shared" ref="AA101:AA129" si="42">F101*L101</f>
        <v>0</v>
      </c>
      <c r="AB101" s="13">
        <f t="shared" ref="AB101:AB129" si="43">F101*N101</f>
        <v>0</v>
      </c>
      <c r="AC101" s="10">
        <v>0.5</v>
      </c>
    </row>
    <row r="102" spans="1:29" s="14" customFormat="1" ht="15" customHeight="1" x14ac:dyDescent="0.25">
      <c r="A102" s="10">
        <v>101</v>
      </c>
      <c r="B102" s="10"/>
      <c r="C102" s="10"/>
      <c r="D102" s="10"/>
      <c r="E102" s="10"/>
      <c r="F102" s="10">
        <v>1</v>
      </c>
      <c r="G102" s="11">
        <v>41492</v>
      </c>
      <c r="H102" s="10">
        <v>1</v>
      </c>
      <c r="I102" s="10" t="s">
        <v>324</v>
      </c>
      <c r="J102" s="10" t="s">
        <v>30</v>
      </c>
      <c r="K102" s="10"/>
      <c r="L102" s="9">
        <v>103</v>
      </c>
      <c r="M102" s="10">
        <v>53</v>
      </c>
      <c r="N102" s="9">
        <v>47.5</v>
      </c>
      <c r="O102" s="10">
        <f t="shared" si="36"/>
        <v>41492</v>
      </c>
      <c r="P102" s="10" t="s">
        <v>44</v>
      </c>
      <c r="Q102" s="10" t="s">
        <v>209</v>
      </c>
      <c r="R102" s="12">
        <v>4050346414920</v>
      </c>
      <c r="S102" s="16" t="s">
        <v>325</v>
      </c>
      <c r="T102" s="10" t="str">
        <f t="shared" si="37"/>
        <v>BlackField Carrier F35 ,Accueil,Messer plus,feste Klinge,Haller,Blackfield</v>
      </c>
      <c r="U102" s="10" t="str">
        <f t="shared" si="38"/>
        <v xml:space="preserve">BlackField Carrier F35 </v>
      </c>
      <c r="V102" s="10" t="str">
        <f t="shared" si="39"/>
        <v>BlackField Carrier F35 ,Accueil,Messer plus,feste Klinge,Haller,Blackfield</v>
      </c>
      <c r="W102" s="10">
        <v>1</v>
      </c>
      <c r="X102" s="10">
        <v>1</v>
      </c>
      <c r="Y102" s="17" t="str">
        <f t="shared" si="40"/>
        <v>http://usfh.ch/img/Messer/41492.jpg</v>
      </c>
      <c r="Z102" s="10">
        <f t="shared" si="41"/>
        <v>41492</v>
      </c>
      <c r="AA102" s="13">
        <f t="shared" si="42"/>
        <v>103</v>
      </c>
      <c r="AB102" s="13">
        <f t="shared" si="43"/>
        <v>47.5</v>
      </c>
      <c r="AC102" s="10">
        <v>0.5</v>
      </c>
    </row>
    <row r="103" spans="1:29" s="14" customFormat="1" ht="15" customHeight="1" x14ac:dyDescent="0.25">
      <c r="A103" s="10">
        <v>102</v>
      </c>
      <c r="B103" s="10"/>
      <c r="C103" s="10"/>
      <c r="D103" s="10"/>
      <c r="E103" s="10"/>
      <c r="F103" s="10">
        <v>1</v>
      </c>
      <c r="G103" s="11">
        <v>80752</v>
      </c>
      <c r="H103" s="10">
        <v>1</v>
      </c>
      <c r="I103" s="10" t="s">
        <v>326</v>
      </c>
      <c r="J103" s="10" t="s">
        <v>30</v>
      </c>
      <c r="K103" s="10"/>
      <c r="L103" s="9">
        <v>69</v>
      </c>
      <c r="M103" s="10">
        <v>53</v>
      </c>
      <c r="N103" s="9">
        <v>29.65</v>
      </c>
      <c r="O103" s="10">
        <f t="shared" si="36"/>
        <v>80752</v>
      </c>
      <c r="P103" s="10" t="s">
        <v>44</v>
      </c>
      <c r="Q103" s="10" t="s">
        <v>44</v>
      </c>
      <c r="R103" s="12">
        <v>4050346807524</v>
      </c>
      <c r="S103" s="16" t="s">
        <v>327</v>
      </c>
      <c r="T103" s="10" t="str">
        <f t="shared" si="37"/>
        <v>Survivalmesser schwarz,Accueil,Messer plus,feste Klinge,Haller,Haller</v>
      </c>
      <c r="U103" s="10" t="str">
        <f t="shared" si="38"/>
        <v>Survivalmesser schwarz</v>
      </c>
      <c r="V103" s="10" t="str">
        <f t="shared" si="39"/>
        <v>Survivalmesser schwarz,Accueil,Messer plus,feste Klinge,Haller,Haller</v>
      </c>
      <c r="W103" s="10">
        <v>1</v>
      </c>
      <c r="X103" s="10">
        <v>1</v>
      </c>
      <c r="Y103" s="17" t="str">
        <f t="shared" si="40"/>
        <v>http://usfh.ch/img/Messer/80752.jpg</v>
      </c>
      <c r="Z103" s="10">
        <f t="shared" si="41"/>
        <v>80752</v>
      </c>
      <c r="AA103" s="13">
        <f t="shared" si="42"/>
        <v>69</v>
      </c>
      <c r="AB103" s="13">
        <f t="shared" si="43"/>
        <v>29.65</v>
      </c>
      <c r="AC103" s="10">
        <v>0.5</v>
      </c>
    </row>
    <row r="104" spans="1:29" s="14" customFormat="1" ht="15" customHeight="1" x14ac:dyDescent="0.25">
      <c r="A104" s="10">
        <v>103</v>
      </c>
      <c r="B104" s="10"/>
      <c r="C104" s="10"/>
      <c r="D104" s="10"/>
      <c r="E104" s="10"/>
      <c r="F104" s="10">
        <v>1</v>
      </c>
      <c r="G104" s="11">
        <v>80751</v>
      </c>
      <c r="H104" s="10">
        <v>1</v>
      </c>
      <c r="I104" s="10" t="s">
        <v>328</v>
      </c>
      <c r="J104" s="10" t="s">
        <v>30</v>
      </c>
      <c r="K104" s="10"/>
      <c r="L104" s="9">
        <v>79</v>
      </c>
      <c r="M104" s="10">
        <v>53</v>
      </c>
      <c r="N104" s="9">
        <v>29.95</v>
      </c>
      <c r="O104" s="10">
        <f t="shared" si="36"/>
        <v>80751</v>
      </c>
      <c r="P104" s="10" t="s">
        <v>44</v>
      </c>
      <c r="Q104" s="10" t="s">
        <v>44</v>
      </c>
      <c r="R104" s="12">
        <v>4050346807517</v>
      </c>
      <c r="S104" s="16" t="s">
        <v>329</v>
      </c>
      <c r="T104" s="10" t="str">
        <f t="shared" si="37"/>
        <v>Survivalmesser sand/camo,Accueil,Messer plus,feste Klinge,Haller,Haller</v>
      </c>
      <c r="U104" s="10" t="str">
        <f t="shared" si="38"/>
        <v>Survivalmesser sand/camo</v>
      </c>
      <c r="V104" s="10" t="str">
        <f t="shared" si="39"/>
        <v>Survivalmesser sand/camo,Accueil,Messer plus,feste Klinge,Haller,Haller</v>
      </c>
      <c r="W104" s="10">
        <v>1</v>
      </c>
      <c r="X104" s="10">
        <v>1</v>
      </c>
      <c r="Y104" s="17" t="str">
        <f t="shared" si="40"/>
        <v>http://usfh.ch/img/Messer/80751.jpg</v>
      </c>
      <c r="Z104" s="10">
        <f t="shared" si="41"/>
        <v>80751</v>
      </c>
      <c r="AA104" s="13">
        <f t="shared" si="42"/>
        <v>79</v>
      </c>
      <c r="AB104" s="13">
        <f t="shared" si="43"/>
        <v>29.95</v>
      </c>
      <c r="AC104" s="10">
        <v>0.5</v>
      </c>
    </row>
    <row r="105" spans="1:29" s="14" customFormat="1" ht="15" customHeight="1" x14ac:dyDescent="0.25">
      <c r="A105" s="10">
        <v>104</v>
      </c>
      <c r="B105" s="10"/>
      <c r="C105" s="10"/>
      <c r="D105" s="10"/>
      <c r="E105" s="10"/>
      <c r="F105" s="10">
        <v>0</v>
      </c>
      <c r="G105" s="11">
        <v>831012</v>
      </c>
      <c r="H105" s="10">
        <v>1</v>
      </c>
      <c r="I105" s="16" t="s">
        <v>330</v>
      </c>
      <c r="J105" s="10" t="s">
        <v>27</v>
      </c>
      <c r="K105" s="10"/>
      <c r="L105" s="9">
        <v>41</v>
      </c>
      <c r="M105" s="10">
        <v>53</v>
      </c>
      <c r="N105" s="9">
        <v>9.4</v>
      </c>
      <c r="O105" s="10">
        <f t="shared" si="36"/>
        <v>831012</v>
      </c>
      <c r="P105" s="10" t="s">
        <v>76</v>
      </c>
      <c r="Q105" s="10" t="s">
        <v>138</v>
      </c>
      <c r="R105" s="12"/>
      <c r="S105" s="16" t="s">
        <v>331</v>
      </c>
      <c r="T105" s="10" t="str">
        <f t="shared" si="37"/>
        <v>Eickhorn Pacific RESCUE TANTO 1,Accueil,Messer plus,Klappmesser,Linder,Eickhorn</v>
      </c>
      <c r="U105" s="10" t="str">
        <f t="shared" si="38"/>
        <v>Eickhorn Pacific RESCUE TANTO 1</v>
      </c>
      <c r="V105" s="10" t="str">
        <f t="shared" si="39"/>
        <v>Eickhorn Pacific RESCUE TANTO 1,Accueil,Messer plus,Klappmesser,Linder,Eickhorn</v>
      </c>
      <c r="W105" s="10">
        <v>1</v>
      </c>
      <c r="X105" s="10">
        <v>1</v>
      </c>
      <c r="Y105" s="17" t="str">
        <f t="shared" si="40"/>
        <v>http://usfh.ch/img/Messer/831012.jpg</v>
      </c>
      <c r="Z105" s="10">
        <f t="shared" si="41"/>
        <v>831012</v>
      </c>
      <c r="AA105" s="13">
        <f t="shared" si="42"/>
        <v>0</v>
      </c>
      <c r="AB105" s="13">
        <f t="shared" si="43"/>
        <v>0</v>
      </c>
      <c r="AC105" s="10">
        <v>0.5</v>
      </c>
    </row>
    <row r="106" spans="1:29" s="14" customFormat="1" ht="15" customHeight="1" x14ac:dyDescent="0.25">
      <c r="A106" s="10">
        <v>105</v>
      </c>
      <c r="B106" s="10"/>
      <c r="C106" s="10"/>
      <c r="D106" s="10"/>
      <c r="E106" s="10"/>
      <c r="F106" s="10">
        <v>1</v>
      </c>
      <c r="G106" s="11">
        <v>10158200000</v>
      </c>
      <c r="H106" s="10">
        <v>1</v>
      </c>
      <c r="I106" s="16" t="s">
        <v>332</v>
      </c>
      <c r="J106" s="10" t="s">
        <v>30</v>
      </c>
      <c r="K106" s="10"/>
      <c r="L106" s="9">
        <v>199</v>
      </c>
      <c r="M106" s="10">
        <v>53</v>
      </c>
      <c r="N106" s="9">
        <v>102.85</v>
      </c>
      <c r="O106" s="10">
        <f t="shared" si="36"/>
        <v>10158200000</v>
      </c>
      <c r="P106" s="10" t="s">
        <v>31</v>
      </c>
      <c r="Q106" s="10" t="s">
        <v>333</v>
      </c>
      <c r="R106" s="12"/>
      <c r="S106" s="16" t="s">
        <v>334</v>
      </c>
      <c r="T106" s="10" t="str">
        <f t="shared" si="37"/>
        <v>USMC Fighting Knife,Accueil,Messer plus,feste Klinge,Airsoft,KA-BAR</v>
      </c>
      <c r="U106" s="10" t="str">
        <f t="shared" si="38"/>
        <v>USMC Fighting Knife</v>
      </c>
      <c r="V106" s="10" t="str">
        <f t="shared" si="39"/>
        <v>USMC Fighting Knife,Accueil,Messer plus,feste Klinge,Airsoft,KA-BAR</v>
      </c>
      <c r="W106" s="10">
        <v>1</v>
      </c>
      <c r="X106" s="10">
        <v>1</v>
      </c>
      <c r="Y106" s="17" t="str">
        <f t="shared" si="40"/>
        <v>http://usfh.ch/img/Messer/10158200000.jpg</v>
      </c>
      <c r="Z106" s="10">
        <f t="shared" si="41"/>
        <v>10158200000</v>
      </c>
      <c r="AA106" s="13">
        <f t="shared" si="42"/>
        <v>199</v>
      </c>
      <c r="AB106" s="13">
        <f t="shared" si="43"/>
        <v>102.85</v>
      </c>
      <c r="AC106" s="10">
        <v>0.5</v>
      </c>
    </row>
    <row r="107" spans="1:29" s="14" customFormat="1" ht="15" customHeight="1" x14ac:dyDescent="0.25">
      <c r="A107" s="10">
        <v>106</v>
      </c>
      <c r="B107" s="10"/>
      <c r="C107" s="10"/>
      <c r="D107" s="10"/>
      <c r="E107" s="10"/>
      <c r="F107" s="10">
        <v>4</v>
      </c>
      <c r="G107" s="11" t="s">
        <v>310</v>
      </c>
      <c r="H107" s="10">
        <v>1</v>
      </c>
      <c r="I107" s="10" t="s">
        <v>311</v>
      </c>
      <c r="J107" s="10" t="s">
        <v>27</v>
      </c>
      <c r="K107" s="10"/>
      <c r="L107" s="9">
        <v>49</v>
      </c>
      <c r="M107" s="10">
        <v>53</v>
      </c>
      <c r="N107" s="9">
        <v>20</v>
      </c>
      <c r="O107" s="10" t="str">
        <f t="shared" si="36"/>
        <v>01YA109</v>
      </c>
      <c r="P107" s="10" t="s">
        <v>40</v>
      </c>
      <c r="Q107" s="10" t="s">
        <v>41</v>
      </c>
      <c r="R107" s="12">
        <v>4045011032868</v>
      </c>
      <c r="S107" s="16" t="s">
        <v>312</v>
      </c>
      <c r="T107" s="10" t="str">
        <f t="shared" si="37"/>
        <v>Grace I,Accueil,Messer plus,Klappmesser,Böker,Magnum</v>
      </c>
      <c r="U107" s="10" t="str">
        <f t="shared" si="38"/>
        <v>Grace I</v>
      </c>
      <c r="V107" s="10" t="str">
        <f t="shared" ref="V107:V129" si="44">T107</f>
        <v>Grace I,Accueil,Messer plus,Klappmesser,Böker,Magnum</v>
      </c>
      <c r="W107" s="10">
        <v>1</v>
      </c>
      <c r="X107" s="10">
        <v>1</v>
      </c>
      <c r="Y107" s="17" t="str">
        <f t="shared" si="40"/>
        <v>http://usfh.ch/img/Messer/01YA109.jpg</v>
      </c>
      <c r="Z107" s="10" t="str">
        <f t="shared" si="41"/>
        <v>01YA109</v>
      </c>
      <c r="AA107" s="13">
        <f t="shared" si="42"/>
        <v>196</v>
      </c>
      <c r="AB107" s="13">
        <f t="shared" si="43"/>
        <v>80</v>
      </c>
      <c r="AC107" s="10">
        <v>0.5</v>
      </c>
    </row>
    <row r="108" spans="1:29" s="14" customFormat="1" ht="15" customHeight="1" x14ac:dyDescent="0.25">
      <c r="A108" s="10">
        <v>107</v>
      </c>
      <c r="B108" s="10">
        <v>1</v>
      </c>
      <c r="C108" s="10">
        <v>1</v>
      </c>
      <c r="D108" s="10"/>
      <c r="E108" s="10"/>
      <c r="F108" s="10">
        <v>0</v>
      </c>
      <c r="G108" s="11" t="s">
        <v>335</v>
      </c>
      <c r="H108" s="10">
        <v>1</v>
      </c>
      <c r="I108" s="16" t="s">
        <v>336</v>
      </c>
      <c r="J108" s="10" t="s">
        <v>27</v>
      </c>
      <c r="K108" s="10"/>
      <c r="L108" s="9">
        <v>65</v>
      </c>
      <c r="M108" s="10">
        <v>53</v>
      </c>
      <c r="N108" s="9">
        <v>32.450000000000003</v>
      </c>
      <c r="O108" s="10" t="str">
        <f t="shared" si="36"/>
        <v>1CB018</v>
      </c>
      <c r="P108" s="10" t="s">
        <v>337</v>
      </c>
      <c r="Q108" s="10" t="s">
        <v>338</v>
      </c>
      <c r="R108" s="12"/>
      <c r="S108" s="16" t="s">
        <v>339</v>
      </c>
      <c r="T108" s="10" t="str">
        <f t="shared" si="37"/>
        <v>Deejo Tattoo Biker Taschenmesser 37 g Grenadillholz,Accueil,Messer plus,Klappmesser,naturzone,Deejo</v>
      </c>
      <c r="U108" s="10" t="str">
        <f t="shared" si="38"/>
        <v>Deejo Tattoo Biker Taschenmesser 37 g Grenadillholz</v>
      </c>
      <c r="V108" s="10" t="str">
        <f t="shared" si="44"/>
        <v>Deejo Tattoo Biker Taschenmesser 37 g Grenadillholz,Accueil,Messer plus,Klappmesser,naturzone,Deejo</v>
      </c>
      <c r="W108" s="10">
        <v>1</v>
      </c>
      <c r="X108" s="10">
        <v>1</v>
      </c>
      <c r="Y108" s="17" t="str">
        <f t="shared" si="40"/>
        <v>http://usfh.ch/img/Messer/1CB018.jpg</v>
      </c>
      <c r="Z108" s="10" t="str">
        <f t="shared" si="41"/>
        <v>1CB018</v>
      </c>
      <c r="AA108" s="13">
        <f t="shared" si="42"/>
        <v>0</v>
      </c>
      <c r="AB108" s="13">
        <f t="shared" si="43"/>
        <v>0</v>
      </c>
      <c r="AC108" s="10">
        <v>0.5</v>
      </c>
    </row>
    <row r="109" spans="1:29" s="14" customFormat="1" ht="15" customHeight="1" x14ac:dyDescent="0.25">
      <c r="A109" s="10">
        <v>108</v>
      </c>
      <c r="B109" s="10"/>
      <c r="C109" s="10">
        <v>1</v>
      </c>
      <c r="D109" s="10"/>
      <c r="E109" s="10"/>
      <c r="F109" s="10">
        <v>0</v>
      </c>
      <c r="G109" s="11" t="s">
        <v>340</v>
      </c>
      <c r="H109" s="10">
        <v>1</v>
      </c>
      <c r="I109" s="16" t="s">
        <v>341</v>
      </c>
      <c r="J109" s="10" t="s">
        <v>27</v>
      </c>
      <c r="K109" s="10"/>
      <c r="L109" s="9">
        <v>65</v>
      </c>
      <c r="M109" s="10">
        <v>53</v>
      </c>
      <c r="N109" s="9">
        <v>32.450000000000003</v>
      </c>
      <c r="O109" s="10" t="str">
        <f t="shared" si="36"/>
        <v>1CB021</v>
      </c>
      <c r="P109" s="10" t="s">
        <v>337</v>
      </c>
      <c r="Q109" s="10" t="s">
        <v>338</v>
      </c>
      <c r="R109" s="12"/>
      <c r="S109" s="16" t="s">
        <v>342</v>
      </c>
      <c r="T109" s="10" t="str">
        <f t="shared" si="37"/>
        <v>Deejo Tattoo Lattino Skull Taschenmesser 37 g Grenadillholz,Accueil,Messer plus,Klappmesser,naturzone,Deejo</v>
      </c>
      <c r="U109" s="10" t="str">
        <f t="shared" si="38"/>
        <v>Deejo Tattoo Lattino Skull Taschenmesser 37 g Grenadillholz</v>
      </c>
      <c r="V109" s="10" t="str">
        <f t="shared" si="44"/>
        <v>Deejo Tattoo Lattino Skull Taschenmesser 37 g Grenadillholz,Accueil,Messer plus,Klappmesser,naturzone,Deejo</v>
      </c>
      <c r="W109" s="10">
        <v>1</v>
      </c>
      <c r="X109" s="10">
        <v>1</v>
      </c>
      <c r="Y109" s="17" t="str">
        <f t="shared" si="40"/>
        <v>http://usfh.ch/img/Messer/1CB021.jpg</v>
      </c>
      <c r="Z109" s="10" t="str">
        <f t="shared" si="41"/>
        <v>1CB021</v>
      </c>
      <c r="AA109" s="13">
        <f t="shared" si="42"/>
        <v>0</v>
      </c>
      <c r="AB109" s="13">
        <f t="shared" si="43"/>
        <v>0</v>
      </c>
      <c r="AC109" s="10">
        <v>0.5</v>
      </c>
    </row>
    <row r="110" spans="1:29" s="14" customFormat="1" ht="15" customHeight="1" x14ac:dyDescent="0.25">
      <c r="A110" s="10">
        <v>109</v>
      </c>
      <c r="B110" s="10"/>
      <c r="C110" s="10"/>
      <c r="D110" s="10"/>
      <c r="E110" s="10"/>
      <c r="F110" s="10">
        <v>0</v>
      </c>
      <c r="G110" s="11" t="s">
        <v>343</v>
      </c>
      <c r="H110" s="10">
        <v>1</v>
      </c>
      <c r="I110" s="16" t="s">
        <v>344</v>
      </c>
      <c r="J110" s="10" t="s">
        <v>27</v>
      </c>
      <c r="K110" s="10"/>
      <c r="L110" s="9">
        <v>65</v>
      </c>
      <c r="M110" s="10">
        <v>53</v>
      </c>
      <c r="N110" s="9">
        <v>32.450000000000003</v>
      </c>
      <c r="O110" s="10" t="str">
        <f t="shared" si="36"/>
        <v>1CB036</v>
      </c>
      <c r="P110" s="10" t="s">
        <v>337</v>
      </c>
      <c r="Q110" s="10" t="s">
        <v>338</v>
      </c>
      <c r="R110" s="12"/>
      <c r="S110" s="16" t="s">
        <v>345</v>
      </c>
      <c r="T110" s="10" t="str">
        <f t="shared" si="37"/>
        <v>Deejo Tattoo Fischenmucke Taschenmesser 37 g Grenadillholz,Accueil,Messer plus,Klappmesser,naturzone,Deejo</v>
      </c>
      <c r="U110" s="10" t="str">
        <f t="shared" si="38"/>
        <v>Deejo Tattoo Fischenmucke Taschenmesser 37 g Grenadillholz</v>
      </c>
      <c r="V110" s="10" t="str">
        <f t="shared" si="44"/>
        <v>Deejo Tattoo Fischenmucke Taschenmesser 37 g Grenadillholz,Accueil,Messer plus,Klappmesser,naturzone,Deejo</v>
      </c>
      <c r="W110" s="10">
        <v>1</v>
      </c>
      <c r="X110" s="10">
        <v>1</v>
      </c>
      <c r="Y110" s="17" t="str">
        <f t="shared" si="40"/>
        <v>http://usfh.ch/img/Messer/1CB036.jpg</v>
      </c>
      <c r="Z110" s="10" t="str">
        <f t="shared" si="41"/>
        <v>1CB036</v>
      </c>
      <c r="AA110" s="13">
        <f t="shared" si="42"/>
        <v>0</v>
      </c>
      <c r="AB110" s="13">
        <f t="shared" si="43"/>
        <v>0</v>
      </c>
      <c r="AC110" s="10">
        <v>0.5</v>
      </c>
    </row>
    <row r="111" spans="1:29" s="14" customFormat="1" ht="15" customHeight="1" x14ac:dyDescent="0.25">
      <c r="A111" s="10">
        <v>110</v>
      </c>
      <c r="B111" s="10"/>
      <c r="C111" s="10"/>
      <c r="D111" s="10"/>
      <c r="E111" s="10"/>
      <c r="F111" s="10">
        <v>1</v>
      </c>
      <c r="G111" s="11" t="s">
        <v>346</v>
      </c>
      <c r="H111" s="10">
        <v>1</v>
      </c>
      <c r="I111" s="16" t="s">
        <v>347</v>
      </c>
      <c r="J111" s="10" t="s">
        <v>27</v>
      </c>
      <c r="K111" s="10"/>
      <c r="L111" s="9">
        <v>65</v>
      </c>
      <c r="M111" s="10">
        <v>53</v>
      </c>
      <c r="N111" s="9">
        <v>32.450000000000003</v>
      </c>
      <c r="O111" s="10" t="str">
        <f t="shared" si="36"/>
        <v>1CB038</v>
      </c>
      <c r="P111" s="10" t="s">
        <v>337</v>
      </c>
      <c r="Q111" s="10" t="s">
        <v>338</v>
      </c>
      <c r="R111" s="12"/>
      <c r="S111" s="16" t="s">
        <v>348</v>
      </c>
      <c r="T111" s="10" t="str">
        <f t="shared" si="37"/>
        <v>Deejo Tattoo Fasan Taschenmesser 37 g Wacholderholz,Accueil,Messer plus,Klappmesser,naturzone,Deejo</v>
      </c>
      <c r="U111" s="10" t="str">
        <f t="shared" si="38"/>
        <v>Deejo Tattoo Fasan Taschenmesser 37 g Wacholderholz</v>
      </c>
      <c r="V111" s="10" t="str">
        <f t="shared" si="44"/>
        <v>Deejo Tattoo Fasan Taschenmesser 37 g Wacholderholz,Accueil,Messer plus,Klappmesser,naturzone,Deejo</v>
      </c>
      <c r="W111" s="10">
        <v>1</v>
      </c>
      <c r="X111" s="10">
        <v>1</v>
      </c>
      <c r="Y111" s="17" t="str">
        <f t="shared" si="40"/>
        <v>http://usfh.ch/img/Messer/1CB038.jpg</v>
      </c>
      <c r="Z111" s="10" t="str">
        <f t="shared" si="41"/>
        <v>1CB038</v>
      </c>
      <c r="AA111" s="13">
        <f t="shared" si="42"/>
        <v>65</v>
      </c>
      <c r="AB111" s="13">
        <f t="shared" si="43"/>
        <v>32.450000000000003</v>
      </c>
      <c r="AC111" s="10">
        <v>0.5</v>
      </c>
    </row>
    <row r="112" spans="1:29" s="14" customFormat="1" ht="15" customHeight="1" x14ac:dyDescent="0.25">
      <c r="A112" s="10">
        <v>111</v>
      </c>
      <c r="B112" s="10"/>
      <c r="C112" s="10"/>
      <c r="D112" s="10"/>
      <c r="E112" s="10"/>
      <c r="F112" s="10">
        <v>0</v>
      </c>
      <c r="G112" s="11" t="s">
        <v>349</v>
      </c>
      <c r="H112" s="10">
        <v>1</v>
      </c>
      <c r="I112" s="16" t="s">
        <v>350</v>
      </c>
      <c r="J112" s="10" t="s">
        <v>27</v>
      </c>
      <c r="K112" s="10"/>
      <c r="L112" s="9">
        <v>65</v>
      </c>
      <c r="M112" s="10">
        <v>53</v>
      </c>
      <c r="N112" s="9">
        <v>32.450000000000003</v>
      </c>
      <c r="O112" s="10" t="str">
        <f t="shared" si="36"/>
        <v>1GB108</v>
      </c>
      <c r="P112" s="10" t="s">
        <v>337</v>
      </c>
      <c r="Q112" s="10" t="s">
        <v>338</v>
      </c>
      <c r="R112" s="12"/>
      <c r="S112" s="16" t="s">
        <v>351</v>
      </c>
      <c r="T112" s="10" t="str">
        <f t="shared" si="37"/>
        <v>Deejo Tattoo Adler Taschenmesser 37 g Wacholderholz,Accueil,Messer plus,Klappmesser,naturzone,Deejo</v>
      </c>
      <c r="U112" s="10" t="str">
        <f t="shared" si="38"/>
        <v>Deejo Tattoo Adler Taschenmesser 37 g Wacholderholz</v>
      </c>
      <c r="V112" s="10" t="str">
        <f t="shared" si="44"/>
        <v>Deejo Tattoo Adler Taschenmesser 37 g Wacholderholz,Accueil,Messer plus,Klappmesser,naturzone,Deejo</v>
      </c>
      <c r="W112" s="10">
        <v>1</v>
      </c>
      <c r="X112" s="10">
        <v>1</v>
      </c>
      <c r="Y112" s="17" t="str">
        <f t="shared" si="40"/>
        <v>http://usfh.ch/img/Messer/1GB108.jpg</v>
      </c>
      <c r="Z112" s="10" t="str">
        <f t="shared" si="41"/>
        <v>1GB108</v>
      </c>
      <c r="AA112" s="13">
        <f t="shared" si="42"/>
        <v>0</v>
      </c>
      <c r="AB112" s="13">
        <f t="shared" si="43"/>
        <v>0</v>
      </c>
      <c r="AC112" s="10">
        <v>0.5</v>
      </c>
    </row>
    <row r="113" spans="1:29" s="14" customFormat="1" ht="15" customHeight="1" x14ac:dyDescent="0.25">
      <c r="A113" s="10">
        <v>112</v>
      </c>
      <c r="B113" s="10">
        <v>1</v>
      </c>
      <c r="C113" s="10"/>
      <c r="D113" s="10"/>
      <c r="E113" s="10"/>
      <c r="F113" s="10">
        <v>1</v>
      </c>
      <c r="G113" s="11" t="s">
        <v>352</v>
      </c>
      <c r="H113" s="10">
        <v>1</v>
      </c>
      <c r="I113" s="16" t="s">
        <v>353</v>
      </c>
      <c r="J113" s="10" t="s">
        <v>27</v>
      </c>
      <c r="K113" s="10"/>
      <c r="L113" s="9">
        <v>65</v>
      </c>
      <c r="M113" s="10">
        <v>53</v>
      </c>
      <c r="N113" s="9">
        <v>32.450000000000003</v>
      </c>
      <c r="O113" s="10" t="str">
        <f t="shared" si="36"/>
        <v>1GB109</v>
      </c>
      <c r="P113" s="10" t="s">
        <v>337</v>
      </c>
      <c r="Q113" s="10" t="s">
        <v>338</v>
      </c>
      <c r="R113" s="12"/>
      <c r="S113" s="16" t="s">
        <v>354</v>
      </c>
      <c r="T113" s="10" t="str">
        <f t="shared" si="37"/>
        <v>Deejo Tattoo Angels Taschenmesser 37 g Grenadillholz,Accueil,Messer plus,Klappmesser,naturzone,Deejo</v>
      </c>
      <c r="U113" s="10" t="str">
        <f t="shared" si="38"/>
        <v>Deejo Tattoo Angels Taschenmesser 37 g Grenadillholz</v>
      </c>
      <c r="V113" s="10" t="str">
        <f t="shared" si="44"/>
        <v>Deejo Tattoo Angels Taschenmesser 37 g Grenadillholz,Accueil,Messer plus,Klappmesser,naturzone,Deejo</v>
      </c>
      <c r="W113" s="10">
        <v>1</v>
      </c>
      <c r="X113" s="10">
        <v>1</v>
      </c>
      <c r="Y113" s="17" t="str">
        <f t="shared" si="40"/>
        <v>http://usfh.ch/img/Messer/1GB109.jpg</v>
      </c>
      <c r="Z113" s="10" t="str">
        <f t="shared" si="41"/>
        <v>1GB109</v>
      </c>
      <c r="AA113" s="13">
        <f t="shared" si="42"/>
        <v>65</v>
      </c>
      <c r="AB113" s="13">
        <f t="shared" si="43"/>
        <v>32.450000000000003</v>
      </c>
      <c r="AC113" s="10">
        <v>0.5</v>
      </c>
    </row>
    <row r="114" spans="1:29" s="14" customFormat="1" ht="15" customHeight="1" x14ac:dyDescent="0.25">
      <c r="A114" s="10">
        <v>113</v>
      </c>
      <c r="B114" s="10">
        <v>1</v>
      </c>
      <c r="C114" s="10">
        <v>1</v>
      </c>
      <c r="D114" s="10"/>
      <c r="E114" s="10"/>
      <c r="F114" s="10">
        <v>2</v>
      </c>
      <c r="G114" s="11" t="s">
        <v>355</v>
      </c>
      <c r="H114" s="10">
        <v>1</v>
      </c>
      <c r="I114" s="16" t="s">
        <v>356</v>
      </c>
      <c r="J114" s="10" t="s">
        <v>27</v>
      </c>
      <c r="K114" s="10"/>
      <c r="L114" s="9">
        <v>65</v>
      </c>
      <c r="M114" s="10">
        <v>53</v>
      </c>
      <c r="N114" s="9">
        <v>32.450000000000003</v>
      </c>
      <c r="O114" s="10" t="str">
        <f t="shared" si="36"/>
        <v>1GB106</v>
      </c>
      <c r="P114" s="10" t="s">
        <v>337</v>
      </c>
      <c r="Q114" s="10" t="s">
        <v>338</v>
      </c>
      <c r="R114" s="12"/>
      <c r="S114" s="16" t="s">
        <v>357</v>
      </c>
      <c r="T114" s="10" t="str">
        <f t="shared" si="37"/>
        <v>Deejo Tattoo Latino Skull Taschenmesser 37 g Grenadillholz,Accueil,Messer plus,Klappmesser,naturzone,Deejo</v>
      </c>
      <c r="U114" s="10" t="str">
        <f t="shared" si="38"/>
        <v>Deejo Tattoo Latino Skull Taschenmesser 37 g Grenadillholz</v>
      </c>
      <c r="V114" s="10" t="str">
        <f t="shared" si="44"/>
        <v>Deejo Tattoo Latino Skull Taschenmesser 37 g Grenadillholz,Accueil,Messer plus,Klappmesser,naturzone,Deejo</v>
      </c>
      <c r="W114" s="10">
        <v>1</v>
      </c>
      <c r="X114" s="10">
        <v>1</v>
      </c>
      <c r="Y114" s="17" t="str">
        <f t="shared" si="40"/>
        <v>http://usfh.ch/img/Messer/1GB106.jpg</v>
      </c>
      <c r="Z114" s="10" t="str">
        <f t="shared" si="41"/>
        <v>1GB106</v>
      </c>
      <c r="AA114" s="13">
        <f t="shared" si="42"/>
        <v>130</v>
      </c>
      <c r="AB114" s="13">
        <f t="shared" si="43"/>
        <v>64.900000000000006</v>
      </c>
      <c r="AC114" s="10">
        <v>0.5</v>
      </c>
    </row>
    <row r="115" spans="1:29" s="14" customFormat="1" ht="15" customHeight="1" x14ac:dyDescent="0.25">
      <c r="A115" s="10">
        <v>114</v>
      </c>
      <c r="B115" s="10"/>
      <c r="C115" s="10"/>
      <c r="D115" s="10"/>
      <c r="E115" s="10"/>
      <c r="F115" s="10">
        <v>0</v>
      </c>
      <c r="G115" s="11" t="s">
        <v>358</v>
      </c>
      <c r="H115" s="10">
        <v>1</v>
      </c>
      <c r="I115" s="16" t="s">
        <v>359</v>
      </c>
      <c r="J115" s="10" t="s">
        <v>27</v>
      </c>
      <c r="K115" s="10"/>
      <c r="L115" s="9">
        <v>65</v>
      </c>
      <c r="M115" s="10">
        <v>53</v>
      </c>
      <c r="N115" s="9">
        <v>32.450000000000003</v>
      </c>
      <c r="O115" s="10" t="str">
        <f t="shared" si="36"/>
        <v>1GB121</v>
      </c>
      <c r="P115" s="10" t="s">
        <v>337</v>
      </c>
      <c r="Q115" s="10" t="s">
        <v>338</v>
      </c>
      <c r="R115" s="12"/>
      <c r="S115" s="16" t="s">
        <v>360</v>
      </c>
      <c r="T115" s="10" t="str">
        <f t="shared" si="37"/>
        <v>Deejo Tattoo Forelle Taschenmesser 37 g Wacholderholz,Accueil,Messer plus,Klappmesser,naturzone,Deejo</v>
      </c>
      <c r="U115" s="10" t="str">
        <f t="shared" si="38"/>
        <v>Deejo Tattoo Forelle Taschenmesser 37 g Wacholderholz</v>
      </c>
      <c r="V115" s="10" t="str">
        <f t="shared" si="44"/>
        <v>Deejo Tattoo Forelle Taschenmesser 37 g Wacholderholz,Accueil,Messer plus,Klappmesser,naturzone,Deejo</v>
      </c>
      <c r="W115" s="10">
        <v>1</v>
      </c>
      <c r="X115" s="10">
        <v>1</v>
      </c>
      <c r="Y115" s="17" t="str">
        <f t="shared" si="40"/>
        <v>http://usfh.ch/img/Messer/1GB121.jpg</v>
      </c>
      <c r="Z115" s="10" t="str">
        <f t="shared" si="41"/>
        <v>1GB121</v>
      </c>
      <c r="AA115" s="13">
        <f t="shared" si="42"/>
        <v>0</v>
      </c>
      <c r="AB115" s="13">
        <f t="shared" si="43"/>
        <v>0</v>
      </c>
      <c r="AC115" s="10">
        <v>0.5</v>
      </c>
    </row>
    <row r="116" spans="1:29" s="14" customFormat="1" ht="15" customHeight="1" x14ac:dyDescent="0.25">
      <c r="A116" s="10">
        <v>115</v>
      </c>
      <c r="B116" s="10"/>
      <c r="C116" s="10"/>
      <c r="D116" s="10"/>
      <c r="E116" s="10"/>
      <c r="F116" s="10">
        <v>0</v>
      </c>
      <c r="G116" s="11" t="s">
        <v>361</v>
      </c>
      <c r="H116" s="10">
        <v>1</v>
      </c>
      <c r="I116" s="16" t="s">
        <v>362</v>
      </c>
      <c r="J116" s="10" t="s">
        <v>27</v>
      </c>
      <c r="K116" s="10"/>
      <c r="L116" s="9">
        <v>65</v>
      </c>
      <c r="M116" s="10">
        <v>53</v>
      </c>
      <c r="N116" s="9">
        <v>32.450000000000003</v>
      </c>
      <c r="O116" s="10" t="str">
        <f t="shared" si="36"/>
        <v>1GB123</v>
      </c>
      <c r="P116" s="10" t="s">
        <v>337</v>
      </c>
      <c r="Q116" s="10" t="s">
        <v>338</v>
      </c>
      <c r="R116" s="12"/>
      <c r="S116" s="16" t="s">
        <v>363</v>
      </c>
      <c r="T116" s="10" t="str">
        <f t="shared" si="37"/>
        <v>Deejo Tattoo Hirsch Taschenmesser 37 g Grenadillholz,Accueil,Messer plus,Klappmesser,naturzone,Deejo</v>
      </c>
      <c r="U116" s="10" t="str">
        <f t="shared" si="38"/>
        <v>Deejo Tattoo Hirsch Taschenmesser 37 g Grenadillholz</v>
      </c>
      <c r="V116" s="10" t="str">
        <f t="shared" si="44"/>
        <v>Deejo Tattoo Hirsch Taschenmesser 37 g Grenadillholz,Accueil,Messer plus,Klappmesser,naturzone,Deejo</v>
      </c>
      <c r="W116" s="10">
        <v>1</v>
      </c>
      <c r="X116" s="10">
        <v>1</v>
      </c>
      <c r="Y116" s="17" t="str">
        <f t="shared" si="40"/>
        <v>http://usfh.ch/img/Messer/1GB123.jpg</v>
      </c>
      <c r="Z116" s="10" t="str">
        <f t="shared" si="41"/>
        <v>1GB123</v>
      </c>
      <c r="AA116" s="13">
        <f t="shared" si="42"/>
        <v>0</v>
      </c>
      <c r="AB116" s="13">
        <f t="shared" si="43"/>
        <v>0</v>
      </c>
      <c r="AC116" s="10">
        <v>0.5</v>
      </c>
    </row>
    <row r="117" spans="1:29" s="14" customFormat="1" ht="15" customHeight="1" x14ac:dyDescent="0.25">
      <c r="A117" s="10">
        <v>116</v>
      </c>
      <c r="B117" s="10"/>
      <c r="C117" s="10"/>
      <c r="D117" s="10"/>
      <c r="E117" s="10"/>
      <c r="F117" s="10">
        <v>0</v>
      </c>
      <c r="G117" s="11" t="s">
        <v>364</v>
      </c>
      <c r="H117" s="10">
        <v>1</v>
      </c>
      <c r="I117" s="16" t="s">
        <v>365</v>
      </c>
      <c r="J117" s="10" t="s">
        <v>27</v>
      </c>
      <c r="K117" s="10"/>
      <c r="L117" s="9">
        <v>55</v>
      </c>
      <c r="M117" s="10">
        <v>53</v>
      </c>
      <c r="N117" s="9">
        <v>27.45</v>
      </c>
      <c r="O117" s="10" t="str">
        <f t="shared" si="36"/>
        <v>1GC001</v>
      </c>
      <c r="P117" s="10" t="s">
        <v>337</v>
      </c>
      <c r="Q117" s="10" t="s">
        <v>338</v>
      </c>
      <c r="R117" s="12"/>
      <c r="S117" s="16" t="s">
        <v>366</v>
      </c>
      <c r="T117" s="10" t="str">
        <f t="shared" si="37"/>
        <v>Deejo Taschenmesser black 37 g Carbon,Accueil,Messer plus,Klappmesser,naturzone,Deejo</v>
      </c>
      <c r="U117" s="10" t="str">
        <f t="shared" si="38"/>
        <v>Deejo Taschenmesser black 37 g Carbon</v>
      </c>
      <c r="V117" s="10" t="str">
        <f t="shared" si="44"/>
        <v>Deejo Taschenmesser black 37 g Carbon,Accueil,Messer plus,Klappmesser,naturzone,Deejo</v>
      </c>
      <c r="W117" s="10">
        <v>1</v>
      </c>
      <c r="X117" s="10">
        <v>1</v>
      </c>
      <c r="Y117" s="17" t="str">
        <f t="shared" si="40"/>
        <v>http://usfh.ch/img/Messer/1GC001.jpg</v>
      </c>
      <c r="Z117" s="10" t="str">
        <f t="shared" si="41"/>
        <v>1GC001</v>
      </c>
      <c r="AA117" s="13">
        <f t="shared" si="42"/>
        <v>0</v>
      </c>
      <c r="AB117" s="13">
        <f t="shared" si="43"/>
        <v>0</v>
      </c>
      <c r="AC117" s="10">
        <v>0.5</v>
      </c>
    </row>
    <row r="118" spans="1:29" s="14" customFormat="1" ht="15" customHeight="1" x14ac:dyDescent="0.25">
      <c r="A118" s="10">
        <v>117</v>
      </c>
      <c r="B118" s="10"/>
      <c r="C118" s="10"/>
      <c r="D118" s="10"/>
      <c r="E118" s="10"/>
      <c r="F118" s="10">
        <v>0</v>
      </c>
      <c r="G118" s="11" t="s">
        <v>367</v>
      </c>
      <c r="H118" s="10">
        <v>1</v>
      </c>
      <c r="I118" s="16" t="s">
        <v>368</v>
      </c>
      <c r="J118" s="10" t="s">
        <v>27</v>
      </c>
      <c r="K118" s="10"/>
      <c r="L118" s="9">
        <v>55</v>
      </c>
      <c r="M118" s="10">
        <v>53</v>
      </c>
      <c r="N118" s="9">
        <v>27.45</v>
      </c>
      <c r="O118" s="10" t="str">
        <f t="shared" si="36"/>
        <v>1CC001</v>
      </c>
      <c r="P118" s="10" t="s">
        <v>337</v>
      </c>
      <c r="Q118" s="10" t="s">
        <v>338</v>
      </c>
      <c r="R118" s="12"/>
      <c r="S118" s="16" t="s">
        <v>369</v>
      </c>
      <c r="T118" s="10" t="str">
        <f t="shared" si="37"/>
        <v>Deejo Taschenmesser hell 37 g Carbon,Accueil,Messer plus,Klappmesser,naturzone,Deejo</v>
      </c>
      <c r="U118" s="10" t="str">
        <f t="shared" si="38"/>
        <v>Deejo Taschenmesser hell 37 g Carbon</v>
      </c>
      <c r="V118" s="10" t="str">
        <f t="shared" si="44"/>
        <v>Deejo Taschenmesser hell 37 g Carbon,Accueil,Messer plus,Klappmesser,naturzone,Deejo</v>
      </c>
      <c r="W118" s="10">
        <v>1</v>
      </c>
      <c r="X118" s="10">
        <v>1</v>
      </c>
      <c r="Y118" s="17" t="str">
        <f t="shared" si="40"/>
        <v>http://usfh.ch/img/Messer/1CC001.jpg</v>
      </c>
      <c r="Z118" s="10" t="str">
        <f t="shared" si="41"/>
        <v>1CC001</v>
      </c>
      <c r="AA118" s="13">
        <f t="shared" si="42"/>
        <v>0</v>
      </c>
      <c r="AB118" s="13">
        <f t="shared" si="43"/>
        <v>0</v>
      </c>
      <c r="AC118" s="10">
        <v>0.5</v>
      </c>
    </row>
    <row r="119" spans="1:29" s="14" customFormat="1" ht="15" customHeight="1" x14ac:dyDescent="0.25">
      <c r="A119" s="10">
        <v>118</v>
      </c>
      <c r="B119" s="10">
        <v>1</v>
      </c>
      <c r="C119" s="10"/>
      <c r="D119" s="10"/>
      <c r="E119" s="10"/>
      <c r="F119" s="10">
        <v>3</v>
      </c>
      <c r="G119" s="11" t="s">
        <v>370</v>
      </c>
      <c r="H119" s="10">
        <v>1</v>
      </c>
      <c r="I119" s="16" t="s">
        <v>371</v>
      </c>
      <c r="J119" s="10" t="s">
        <v>27</v>
      </c>
      <c r="K119" s="10"/>
      <c r="L119" s="9">
        <v>65</v>
      </c>
      <c r="M119" s="10">
        <v>53</v>
      </c>
      <c r="N119" s="9">
        <v>32.450000000000003</v>
      </c>
      <c r="O119" s="10" t="str">
        <f t="shared" si="36"/>
        <v>1CB023</v>
      </c>
      <c r="P119" s="10" t="s">
        <v>337</v>
      </c>
      <c r="Q119" s="10" t="s">
        <v>338</v>
      </c>
      <c r="R119" s="12"/>
      <c r="S119" s="16" t="s">
        <v>372</v>
      </c>
      <c r="T119" s="10" t="str">
        <f t="shared" si="37"/>
        <v>Deejo Tattoo Vroom Taschenmesser 37 g Rosenholz,Accueil,Messer plus,Klappmesser,naturzone,Deejo</v>
      </c>
      <c r="U119" s="10" t="str">
        <f t="shared" si="38"/>
        <v>Deejo Tattoo Vroom Taschenmesser 37 g Rosenholz</v>
      </c>
      <c r="V119" s="10" t="str">
        <f t="shared" si="44"/>
        <v>Deejo Tattoo Vroom Taschenmesser 37 g Rosenholz,Accueil,Messer plus,Klappmesser,naturzone,Deejo</v>
      </c>
      <c r="W119" s="10">
        <v>1</v>
      </c>
      <c r="X119" s="10">
        <v>1</v>
      </c>
      <c r="Y119" s="17" t="str">
        <f t="shared" si="40"/>
        <v>http://usfh.ch/img/Messer/1CB023.jpg</v>
      </c>
      <c r="Z119" s="10" t="str">
        <f t="shared" si="41"/>
        <v>1CB023</v>
      </c>
      <c r="AA119" s="13">
        <f t="shared" si="42"/>
        <v>195</v>
      </c>
      <c r="AB119" s="13">
        <f t="shared" si="43"/>
        <v>97.350000000000009</v>
      </c>
      <c r="AC119" s="10">
        <v>0.5</v>
      </c>
    </row>
    <row r="120" spans="1:29" s="14" customFormat="1" ht="15" customHeight="1" x14ac:dyDescent="0.25">
      <c r="A120" s="10">
        <v>119</v>
      </c>
      <c r="B120" s="10"/>
      <c r="C120" s="10"/>
      <c r="D120" s="10"/>
      <c r="E120" s="10"/>
      <c r="F120" s="10">
        <v>0</v>
      </c>
      <c r="G120" s="11" t="s">
        <v>373</v>
      </c>
      <c r="H120" s="10">
        <v>1</v>
      </c>
      <c r="I120" s="16" t="s">
        <v>374</v>
      </c>
      <c r="J120" s="10" t="s">
        <v>27</v>
      </c>
      <c r="K120" s="10"/>
      <c r="L120" s="9">
        <v>65</v>
      </c>
      <c r="M120" s="10">
        <v>53</v>
      </c>
      <c r="N120" s="9">
        <v>32.450000000000003</v>
      </c>
      <c r="O120" s="10" t="str">
        <f t="shared" si="36"/>
        <v>1CB024</v>
      </c>
      <c r="P120" s="10" t="s">
        <v>337</v>
      </c>
      <c r="Q120" s="10" t="s">
        <v>338</v>
      </c>
      <c r="R120" s="12"/>
      <c r="S120" s="16" t="s">
        <v>375</v>
      </c>
      <c r="T120" s="10" t="str">
        <f t="shared" si="37"/>
        <v>Deejo Tattoo Winter Taschenmesser 37 g Rot,Accueil,Messer plus,Klappmesser,naturzone,Deejo</v>
      </c>
      <c r="U120" s="10" t="str">
        <f t="shared" si="38"/>
        <v>Deejo Tattoo Winter Taschenmesser 37 g Rot</v>
      </c>
      <c r="V120" s="10" t="str">
        <f t="shared" si="44"/>
        <v>Deejo Tattoo Winter Taschenmesser 37 g Rot,Accueil,Messer plus,Klappmesser,naturzone,Deejo</v>
      </c>
      <c r="W120" s="10">
        <v>1</v>
      </c>
      <c r="X120" s="10">
        <v>1</v>
      </c>
      <c r="Y120" s="17" t="str">
        <f t="shared" si="40"/>
        <v>http://usfh.ch/img/Messer/1CB024.jpg</v>
      </c>
      <c r="Z120" s="10" t="str">
        <f t="shared" si="41"/>
        <v>1CB024</v>
      </c>
      <c r="AA120" s="13">
        <f t="shared" si="42"/>
        <v>0</v>
      </c>
      <c r="AB120" s="13">
        <f t="shared" si="43"/>
        <v>0</v>
      </c>
      <c r="AC120" s="10">
        <v>0.5</v>
      </c>
    </row>
    <row r="121" spans="1:29" s="14" customFormat="1" ht="15" customHeight="1" x14ac:dyDescent="0.25">
      <c r="A121" s="10">
        <v>120</v>
      </c>
      <c r="B121" s="10"/>
      <c r="C121" s="10"/>
      <c r="D121" s="10"/>
      <c r="E121" s="10"/>
      <c r="F121" s="10">
        <v>2</v>
      </c>
      <c r="G121" s="11" t="s">
        <v>376</v>
      </c>
      <c r="H121" s="10">
        <v>1</v>
      </c>
      <c r="I121" s="16" t="s">
        <v>377</v>
      </c>
      <c r="J121" s="10" t="s">
        <v>27</v>
      </c>
      <c r="K121" s="10"/>
      <c r="L121" s="9">
        <v>65</v>
      </c>
      <c r="M121" s="10">
        <v>53</v>
      </c>
      <c r="N121" s="9">
        <v>32.450000000000003</v>
      </c>
      <c r="O121" s="10" t="str">
        <f t="shared" si="36"/>
        <v>1CB025</v>
      </c>
      <c r="P121" s="10" t="s">
        <v>337</v>
      </c>
      <c r="Q121" s="10" t="s">
        <v>338</v>
      </c>
      <c r="R121" s="12"/>
      <c r="S121" s="16" t="s">
        <v>378</v>
      </c>
      <c r="T121" s="10" t="str">
        <f t="shared" si="37"/>
        <v>Deejo Tattoo Spray Taschenmesser 37 g Blau,Accueil,Messer plus,Klappmesser,naturzone,Deejo</v>
      </c>
      <c r="U121" s="10" t="str">
        <f t="shared" si="38"/>
        <v>Deejo Tattoo Spray Taschenmesser 37 g Blau</v>
      </c>
      <c r="V121" s="10" t="str">
        <f t="shared" si="44"/>
        <v>Deejo Tattoo Spray Taschenmesser 37 g Blau,Accueil,Messer plus,Klappmesser,naturzone,Deejo</v>
      </c>
      <c r="W121" s="10">
        <v>1</v>
      </c>
      <c r="X121" s="10">
        <v>1</v>
      </c>
      <c r="Y121" s="17" t="str">
        <f t="shared" si="40"/>
        <v>http://usfh.ch/img/Messer/1CB025.jpg</v>
      </c>
      <c r="Z121" s="10" t="str">
        <f t="shared" si="41"/>
        <v>1CB025</v>
      </c>
      <c r="AA121" s="13">
        <f t="shared" si="42"/>
        <v>130</v>
      </c>
      <c r="AB121" s="13">
        <f t="shared" si="43"/>
        <v>64.900000000000006</v>
      </c>
      <c r="AC121" s="10">
        <v>0.5</v>
      </c>
    </row>
    <row r="122" spans="1:29" s="14" customFormat="1" ht="15" customHeight="1" x14ac:dyDescent="0.25">
      <c r="A122" s="10">
        <v>121</v>
      </c>
      <c r="B122" s="10"/>
      <c r="C122" s="10"/>
      <c r="D122" s="10"/>
      <c r="E122" s="10"/>
      <c r="F122" s="10">
        <v>0</v>
      </c>
      <c r="G122" s="11" t="s">
        <v>379</v>
      </c>
      <c r="H122" s="10">
        <v>1</v>
      </c>
      <c r="I122" s="16" t="s">
        <v>380</v>
      </c>
      <c r="J122" s="10" t="s">
        <v>27</v>
      </c>
      <c r="K122" s="10"/>
      <c r="L122" s="9">
        <v>65</v>
      </c>
      <c r="M122" s="10">
        <v>53</v>
      </c>
      <c r="N122" s="9">
        <v>32.450000000000003</v>
      </c>
      <c r="O122" s="10" t="str">
        <f t="shared" si="36"/>
        <v>1CB026</v>
      </c>
      <c r="P122" s="10" t="s">
        <v>337</v>
      </c>
      <c r="Q122" s="10" t="s">
        <v>338</v>
      </c>
      <c r="R122" s="12"/>
      <c r="S122" s="16" t="s">
        <v>381</v>
      </c>
      <c r="T122" s="10" t="str">
        <f t="shared" si="37"/>
        <v>Deejo Tattoo Succubus Taschenmesser 37 g Grenadillholz,Accueil,Messer plus,Klappmesser,naturzone,Deejo</v>
      </c>
      <c r="U122" s="10" t="str">
        <f t="shared" si="38"/>
        <v>Deejo Tattoo Succubus Taschenmesser 37 g Grenadillholz</v>
      </c>
      <c r="V122" s="10" t="str">
        <f t="shared" si="44"/>
        <v>Deejo Tattoo Succubus Taschenmesser 37 g Grenadillholz,Accueil,Messer plus,Klappmesser,naturzone,Deejo</v>
      </c>
      <c r="W122" s="10">
        <v>1</v>
      </c>
      <c r="X122" s="10">
        <v>1</v>
      </c>
      <c r="Y122" s="17" t="str">
        <f t="shared" si="40"/>
        <v>http://usfh.ch/img/Messer/1CB026.jpg</v>
      </c>
      <c r="Z122" s="10" t="str">
        <f t="shared" si="41"/>
        <v>1CB026</v>
      </c>
      <c r="AA122" s="13">
        <f t="shared" si="42"/>
        <v>0</v>
      </c>
      <c r="AB122" s="13">
        <f t="shared" si="43"/>
        <v>0</v>
      </c>
      <c r="AC122" s="10">
        <v>0.5</v>
      </c>
    </row>
    <row r="123" spans="1:29" s="14" customFormat="1" ht="15" customHeight="1" x14ac:dyDescent="0.25">
      <c r="A123" s="10">
        <v>122</v>
      </c>
      <c r="B123" s="10"/>
      <c r="C123" s="10"/>
      <c r="D123" s="10"/>
      <c r="E123" s="10"/>
      <c r="F123" s="10">
        <v>0</v>
      </c>
      <c r="G123" s="11" t="s">
        <v>382</v>
      </c>
      <c r="H123" s="10">
        <v>1</v>
      </c>
      <c r="I123" s="16" t="s">
        <v>383</v>
      </c>
      <c r="J123" s="10" t="s">
        <v>27</v>
      </c>
      <c r="K123" s="10"/>
      <c r="L123" s="9">
        <v>65</v>
      </c>
      <c r="M123" s="10">
        <v>53</v>
      </c>
      <c r="N123" s="9">
        <v>32.450000000000003</v>
      </c>
      <c r="O123" s="10" t="str">
        <f t="shared" si="36"/>
        <v>1CB027</v>
      </c>
      <c r="P123" s="10" t="s">
        <v>337</v>
      </c>
      <c r="Q123" s="10" t="s">
        <v>338</v>
      </c>
      <c r="R123" s="12"/>
      <c r="S123" s="16" t="s">
        <v>384</v>
      </c>
      <c r="T123" s="10" t="str">
        <f t="shared" si="37"/>
        <v>Deejo Tattoo Elf Taschenmesser 37 g Rosenholz,Accueil,Messer plus,Klappmesser,naturzone,Deejo</v>
      </c>
      <c r="U123" s="10" t="str">
        <f t="shared" si="38"/>
        <v>Deejo Tattoo Elf Taschenmesser 37 g Rosenholz</v>
      </c>
      <c r="V123" s="10" t="str">
        <f t="shared" si="44"/>
        <v>Deejo Tattoo Elf Taschenmesser 37 g Rosenholz,Accueil,Messer plus,Klappmesser,naturzone,Deejo</v>
      </c>
      <c r="W123" s="10">
        <v>1</v>
      </c>
      <c r="X123" s="10">
        <v>1</v>
      </c>
      <c r="Y123" s="17" t="str">
        <f t="shared" si="40"/>
        <v>http://usfh.ch/img/Messer/1CB027.jpg</v>
      </c>
      <c r="Z123" s="10" t="str">
        <f t="shared" si="41"/>
        <v>1CB027</v>
      </c>
      <c r="AA123" s="13">
        <f t="shared" si="42"/>
        <v>0</v>
      </c>
      <c r="AB123" s="13">
        <f t="shared" si="43"/>
        <v>0</v>
      </c>
      <c r="AC123" s="10">
        <v>0.5</v>
      </c>
    </row>
    <row r="124" spans="1:29" s="14" customFormat="1" ht="15" customHeight="1" x14ac:dyDescent="0.25">
      <c r="A124" s="10">
        <v>123</v>
      </c>
      <c r="B124" s="10"/>
      <c r="C124" s="10"/>
      <c r="D124" s="10"/>
      <c r="E124" s="10"/>
      <c r="F124" s="10">
        <v>1</v>
      </c>
      <c r="G124" s="11" t="s">
        <v>385</v>
      </c>
      <c r="H124" s="10">
        <v>1</v>
      </c>
      <c r="I124" s="16" t="s">
        <v>386</v>
      </c>
      <c r="J124" s="10" t="s">
        <v>27</v>
      </c>
      <c r="K124" s="10"/>
      <c r="L124" s="9">
        <v>65</v>
      </c>
      <c r="M124" s="10">
        <v>53</v>
      </c>
      <c r="N124" s="9">
        <v>32.450000000000003</v>
      </c>
      <c r="O124" s="10" t="str">
        <f t="shared" si="36"/>
        <v>1CB037</v>
      </c>
      <c r="P124" s="10" t="s">
        <v>337</v>
      </c>
      <c r="Q124" s="10" t="s">
        <v>338</v>
      </c>
      <c r="R124" s="12"/>
      <c r="S124" s="16" t="s">
        <v>387</v>
      </c>
      <c r="T124" s="10" t="str">
        <f t="shared" si="37"/>
        <v>Deejo Tattoo Hunting Day Taschenmesser 37 g Rosenholz,Accueil,Messer plus,Klappmesser,naturzone,Deejo</v>
      </c>
      <c r="U124" s="10" t="str">
        <f t="shared" si="38"/>
        <v>Deejo Tattoo Hunting Day Taschenmesser 37 g Rosenholz</v>
      </c>
      <c r="V124" s="10" t="str">
        <f t="shared" si="44"/>
        <v>Deejo Tattoo Hunting Day Taschenmesser 37 g Rosenholz,Accueil,Messer plus,Klappmesser,naturzone,Deejo</v>
      </c>
      <c r="W124" s="10">
        <v>1</v>
      </c>
      <c r="X124" s="10">
        <v>1</v>
      </c>
      <c r="Y124" s="17" t="str">
        <f t="shared" si="40"/>
        <v>http://usfh.ch/img/Messer/1CB037.jpg</v>
      </c>
      <c r="Z124" s="10" t="str">
        <f t="shared" si="41"/>
        <v>1CB037</v>
      </c>
      <c r="AA124" s="13">
        <f t="shared" si="42"/>
        <v>65</v>
      </c>
      <c r="AB124" s="13">
        <f t="shared" si="43"/>
        <v>32.450000000000003</v>
      </c>
      <c r="AC124" s="10">
        <v>0.5</v>
      </c>
    </row>
    <row r="125" spans="1:29" s="14" customFormat="1" ht="15" customHeight="1" x14ac:dyDescent="0.25">
      <c r="A125" s="10">
        <v>124</v>
      </c>
      <c r="B125" s="10"/>
      <c r="C125" s="10"/>
      <c r="D125" s="10"/>
      <c r="E125" s="10"/>
      <c r="F125" s="10">
        <v>2</v>
      </c>
      <c r="G125" s="11" t="s">
        <v>388</v>
      </c>
      <c r="H125" s="10">
        <v>1</v>
      </c>
      <c r="I125" s="16" t="s">
        <v>389</v>
      </c>
      <c r="J125" s="10" t="s">
        <v>27</v>
      </c>
      <c r="K125" s="10"/>
      <c r="L125" s="9">
        <v>65</v>
      </c>
      <c r="M125" s="10">
        <v>53</v>
      </c>
      <c r="N125" s="9">
        <v>32.450000000000003</v>
      </c>
      <c r="O125" s="10" t="str">
        <f t="shared" si="36"/>
        <v>1GB110</v>
      </c>
      <c r="P125" s="10" t="s">
        <v>337</v>
      </c>
      <c r="Q125" s="10" t="s">
        <v>338</v>
      </c>
      <c r="R125" s="12"/>
      <c r="S125" s="16" t="s">
        <v>390</v>
      </c>
      <c r="T125" s="10" t="str">
        <f t="shared" si="37"/>
        <v>Deejo Tattoo Skate Taschenmesser 37 g Orange,Accueil,Messer plus,Klappmesser,naturzone,Deejo</v>
      </c>
      <c r="U125" s="10" t="str">
        <f t="shared" si="38"/>
        <v>Deejo Tattoo Skate Taschenmesser 37 g Orange</v>
      </c>
      <c r="V125" s="10" t="str">
        <f t="shared" si="44"/>
        <v>Deejo Tattoo Skate Taschenmesser 37 g Orange,Accueil,Messer plus,Klappmesser,naturzone,Deejo</v>
      </c>
      <c r="W125" s="10">
        <v>1</v>
      </c>
      <c r="X125" s="10">
        <v>1</v>
      </c>
      <c r="Y125" s="17" t="str">
        <f t="shared" si="40"/>
        <v>http://usfh.ch/img/Messer/1GB110.jpg</v>
      </c>
      <c r="Z125" s="10" t="str">
        <f t="shared" si="41"/>
        <v>1GB110</v>
      </c>
      <c r="AA125" s="13">
        <f t="shared" si="42"/>
        <v>130</v>
      </c>
      <c r="AB125" s="13">
        <f t="shared" si="43"/>
        <v>64.900000000000006</v>
      </c>
      <c r="AC125" s="10">
        <v>0.5</v>
      </c>
    </row>
    <row r="126" spans="1:29" s="14" customFormat="1" ht="15" customHeight="1" x14ac:dyDescent="0.25">
      <c r="A126" s="10">
        <v>125</v>
      </c>
      <c r="B126" s="10"/>
      <c r="C126" s="10"/>
      <c r="D126" s="10"/>
      <c r="E126" s="10"/>
      <c r="F126" s="10">
        <v>1</v>
      </c>
      <c r="G126" s="11" t="s">
        <v>391</v>
      </c>
      <c r="H126" s="10">
        <v>1</v>
      </c>
      <c r="I126" s="16" t="s">
        <v>392</v>
      </c>
      <c r="J126" s="10" t="s">
        <v>27</v>
      </c>
      <c r="K126" s="10"/>
      <c r="L126" s="9">
        <v>65</v>
      </c>
      <c r="M126" s="10">
        <v>53</v>
      </c>
      <c r="N126" s="9">
        <v>32.450000000000003</v>
      </c>
      <c r="O126" s="10" t="str">
        <f t="shared" si="36"/>
        <v>1GB111</v>
      </c>
      <c r="P126" s="10" t="s">
        <v>337</v>
      </c>
      <c r="Q126" s="10" t="s">
        <v>338</v>
      </c>
      <c r="R126" s="12"/>
      <c r="S126" s="16" t="s">
        <v>393</v>
      </c>
      <c r="T126" s="10" t="str">
        <f t="shared" si="37"/>
        <v>Deejo Tattoo Zombie Taschenmesser 37 g Gelb,Accueil,Messer plus,Klappmesser,naturzone,Deejo</v>
      </c>
      <c r="U126" s="10" t="str">
        <f t="shared" si="38"/>
        <v>Deejo Tattoo Zombie Taschenmesser 37 g Gelb</v>
      </c>
      <c r="V126" s="10" t="str">
        <f t="shared" si="44"/>
        <v>Deejo Tattoo Zombie Taschenmesser 37 g Gelb,Accueil,Messer plus,Klappmesser,naturzone,Deejo</v>
      </c>
      <c r="W126" s="10">
        <v>1</v>
      </c>
      <c r="X126" s="10">
        <v>1</v>
      </c>
      <c r="Y126" s="17" t="str">
        <f t="shared" si="40"/>
        <v>http://usfh.ch/img/Messer/1GB111.jpg</v>
      </c>
      <c r="Z126" s="10" t="str">
        <f t="shared" si="41"/>
        <v>1GB111</v>
      </c>
      <c r="AA126" s="13">
        <f t="shared" si="42"/>
        <v>65</v>
      </c>
      <c r="AB126" s="13">
        <f t="shared" si="43"/>
        <v>32.450000000000003</v>
      </c>
      <c r="AC126" s="10">
        <v>0.5</v>
      </c>
    </row>
    <row r="127" spans="1:29" s="14" customFormat="1" ht="15" customHeight="1" x14ac:dyDescent="0.25">
      <c r="A127" s="10">
        <v>126</v>
      </c>
      <c r="B127" s="10"/>
      <c r="C127" s="10"/>
      <c r="D127" s="10"/>
      <c r="E127" s="10"/>
      <c r="F127" s="10">
        <v>1</v>
      </c>
      <c r="G127" s="11" t="s">
        <v>394</v>
      </c>
      <c r="H127" s="10">
        <v>1</v>
      </c>
      <c r="I127" s="16" t="s">
        <v>395</v>
      </c>
      <c r="J127" s="10" t="s">
        <v>27</v>
      </c>
      <c r="K127" s="10"/>
      <c r="L127" s="9">
        <v>65</v>
      </c>
      <c r="M127" s="10">
        <v>53</v>
      </c>
      <c r="N127" s="9">
        <v>32.450000000000003</v>
      </c>
      <c r="O127" s="10" t="str">
        <f t="shared" si="36"/>
        <v>1GB112</v>
      </c>
      <c r="P127" s="10" t="s">
        <v>337</v>
      </c>
      <c r="Q127" s="10" t="s">
        <v>338</v>
      </c>
      <c r="R127" s="12"/>
      <c r="S127" s="16" t="s">
        <v>396</v>
      </c>
      <c r="T127" s="10" t="str">
        <f t="shared" si="37"/>
        <v>Deejo Tattoo Peace Taschenmesser 37 g Grün,Accueil,Messer plus,Klappmesser,naturzone,Deejo</v>
      </c>
      <c r="U127" s="10" t="str">
        <f t="shared" si="38"/>
        <v>Deejo Tattoo Peace Taschenmesser 37 g Grün</v>
      </c>
      <c r="V127" s="10" t="str">
        <f t="shared" si="44"/>
        <v>Deejo Tattoo Peace Taschenmesser 37 g Grün,Accueil,Messer plus,Klappmesser,naturzone,Deejo</v>
      </c>
      <c r="W127" s="10">
        <v>1</v>
      </c>
      <c r="X127" s="10">
        <v>1</v>
      </c>
      <c r="Y127" s="17" t="str">
        <f t="shared" si="40"/>
        <v>http://usfh.ch/img/Messer/1GB112.jpg</v>
      </c>
      <c r="Z127" s="10" t="str">
        <f t="shared" si="41"/>
        <v>1GB112</v>
      </c>
      <c r="AA127" s="13">
        <f t="shared" si="42"/>
        <v>65</v>
      </c>
      <c r="AB127" s="13">
        <f t="shared" si="43"/>
        <v>32.450000000000003</v>
      </c>
      <c r="AC127" s="10">
        <v>0.5</v>
      </c>
    </row>
    <row r="128" spans="1:29" s="14" customFormat="1" ht="15" customHeight="1" x14ac:dyDescent="0.25">
      <c r="A128" s="10">
        <v>127</v>
      </c>
      <c r="B128" s="10"/>
      <c r="C128" s="10"/>
      <c r="D128" s="10"/>
      <c r="E128" s="10"/>
      <c r="F128" s="10">
        <v>0</v>
      </c>
      <c r="G128" s="11" t="s">
        <v>397</v>
      </c>
      <c r="H128" s="10">
        <v>1</v>
      </c>
      <c r="I128" s="16" t="s">
        <v>398</v>
      </c>
      <c r="J128" s="10" t="s">
        <v>27</v>
      </c>
      <c r="K128" s="10"/>
      <c r="L128" s="9">
        <v>65</v>
      </c>
      <c r="M128" s="10">
        <v>53</v>
      </c>
      <c r="N128" s="9">
        <v>32.450000000000003</v>
      </c>
      <c r="O128" s="10" t="str">
        <f t="shared" si="36"/>
        <v>1GB113</v>
      </c>
      <c r="P128" s="10" t="s">
        <v>337</v>
      </c>
      <c r="Q128" s="10" t="s">
        <v>338</v>
      </c>
      <c r="R128" s="12"/>
      <c r="S128" s="16" t="s">
        <v>399</v>
      </c>
      <c r="T128" s="10" t="str">
        <f t="shared" si="37"/>
        <v>Deejo Tattoo Esoteric Taschenmesser 37 g Wacholderholz,Accueil,Messer plus,Klappmesser,naturzone,Deejo</v>
      </c>
      <c r="U128" s="10" t="str">
        <f t="shared" si="38"/>
        <v>Deejo Tattoo Esoteric Taschenmesser 37 g Wacholderholz</v>
      </c>
      <c r="V128" s="10" t="str">
        <f t="shared" si="44"/>
        <v>Deejo Tattoo Esoteric Taschenmesser 37 g Wacholderholz,Accueil,Messer plus,Klappmesser,naturzone,Deejo</v>
      </c>
      <c r="W128" s="10">
        <v>1</v>
      </c>
      <c r="X128" s="10">
        <v>1</v>
      </c>
      <c r="Y128" s="17" t="str">
        <f t="shared" si="40"/>
        <v>http://usfh.ch/img/Messer/1GB113.jpg</v>
      </c>
      <c r="Z128" s="10" t="str">
        <f t="shared" si="41"/>
        <v>1GB113</v>
      </c>
      <c r="AA128" s="13">
        <f t="shared" si="42"/>
        <v>0</v>
      </c>
      <c r="AB128" s="13">
        <f t="shared" si="43"/>
        <v>0</v>
      </c>
      <c r="AC128" s="10">
        <v>0.5</v>
      </c>
    </row>
    <row r="129" spans="1:29" s="14" customFormat="1" ht="15" customHeight="1" x14ac:dyDescent="0.25">
      <c r="A129" s="10">
        <v>128</v>
      </c>
      <c r="B129" s="10"/>
      <c r="C129" s="10"/>
      <c r="D129" s="10"/>
      <c r="E129" s="10"/>
      <c r="F129" s="10">
        <v>0</v>
      </c>
      <c r="G129" s="11" t="s">
        <v>400</v>
      </c>
      <c r="H129" s="10">
        <v>1</v>
      </c>
      <c r="I129" s="16" t="s">
        <v>401</v>
      </c>
      <c r="J129" s="10" t="s">
        <v>27</v>
      </c>
      <c r="K129" s="10"/>
      <c r="L129" s="9">
        <v>65</v>
      </c>
      <c r="M129" s="10">
        <v>53</v>
      </c>
      <c r="N129" s="9">
        <v>32.450000000000003</v>
      </c>
      <c r="O129" s="10" t="str">
        <f t="shared" si="36"/>
        <v>1GB122</v>
      </c>
      <c r="P129" s="10" t="s">
        <v>337</v>
      </c>
      <c r="Q129" s="10" t="s">
        <v>338</v>
      </c>
      <c r="R129" s="12"/>
      <c r="S129" s="16" t="s">
        <v>402</v>
      </c>
      <c r="T129" s="10" t="str">
        <f t="shared" si="37"/>
        <v>Deejo Tattoo the Flight Taschenmesser 37 g Rosenholz,Accueil,Messer plus,Klappmesser,naturzone,Deejo</v>
      </c>
      <c r="U129" s="10" t="str">
        <f t="shared" si="38"/>
        <v>Deejo Tattoo the Flight Taschenmesser 37 g Rosenholz</v>
      </c>
      <c r="V129" s="10" t="str">
        <f t="shared" si="44"/>
        <v>Deejo Tattoo the Flight Taschenmesser 37 g Rosenholz,Accueil,Messer plus,Klappmesser,naturzone,Deejo</v>
      </c>
      <c r="W129" s="10">
        <v>1</v>
      </c>
      <c r="X129" s="10">
        <v>1</v>
      </c>
      <c r="Y129" s="17" t="str">
        <f t="shared" si="40"/>
        <v>http://usfh.ch/img/Messer/1GB122.jpg</v>
      </c>
      <c r="Z129" s="10" t="str">
        <f t="shared" si="41"/>
        <v>1GB122</v>
      </c>
      <c r="AA129" s="13">
        <f t="shared" si="42"/>
        <v>0</v>
      </c>
      <c r="AB129" s="13">
        <f t="shared" si="43"/>
        <v>0</v>
      </c>
      <c r="AC129" s="10">
        <v>0.5</v>
      </c>
    </row>
    <row r="130" spans="1:29" s="14" customFormat="1" ht="15" customHeight="1" x14ac:dyDescent="0.25">
      <c r="A130" s="10">
        <v>129</v>
      </c>
      <c r="B130" s="10"/>
      <c r="C130" s="10"/>
      <c r="D130" s="10"/>
      <c r="E130" s="10"/>
      <c r="F130" s="10">
        <v>0</v>
      </c>
      <c r="G130" s="11" t="s">
        <v>403</v>
      </c>
      <c r="H130" s="10">
        <v>1</v>
      </c>
      <c r="I130" s="10" t="s">
        <v>404</v>
      </c>
      <c r="J130" s="10" t="s">
        <v>27</v>
      </c>
      <c r="K130" s="10"/>
      <c r="L130" s="18">
        <v>55</v>
      </c>
      <c r="M130" s="10">
        <v>53</v>
      </c>
      <c r="N130" s="18">
        <v>27.45</v>
      </c>
      <c r="O130" s="10" t="s">
        <v>403</v>
      </c>
      <c r="P130" s="10" t="s">
        <v>337</v>
      </c>
      <c r="Q130" s="10" t="s">
        <v>338</v>
      </c>
      <c r="R130" s="12"/>
      <c r="S130" s="16" t="s">
        <v>405</v>
      </c>
      <c r="T130" s="10" t="s">
        <v>406</v>
      </c>
      <c r="U130" s="10" t="s">
        <v>404</v>
      </c>
      <c r="V130" s="10" t="s">
        <v>28</v>
      </c>
      <c r="W130" s="10">
        <v>1</v>
      </c>
      <c r="X130" s="10">
        <v>1</v>
      </c>
      <c r="Y130" s="10" t="s">
        <v>407</v>
      </c>
      <c r="Z130" s="10" t="s">
        <v>403</v>
      </c>
      <c r="AA130" s="13">
        <v>50</v>
      </c>
      <c r="AB130" s="13">
        <v>26.95</v>
      </c>
      <c r="AC130" s="10">
        <v>0.5</v>
      </c>
    </row>
    <row r="131" spans="1:29" s="14" customFormat="1" ht="15" customHeight="1" x14ac:dyDescent="0.25">
      <c r="A131" s="10">
        <v>130</v>
      </c>
      <c r="B131" s="10"/>
      <c r="C131" s="10"/>
      <c r="D131" s="10"/>
      <c r="E131" s="10"/>
      <c r="F131" s="10">
        <v>0</v>
      </c>
      <c r="G131" s="11" t="s">
        <v>408</v>
      </c>
      <c r="H131" s="10">
        <v>1</v>
      </c>
      <c r="I131" s="10" t="s">
        <v>409</v>
      </c>
      <c r="J131" s="10" t="s">
        <v>27</v>
      </c>
      <c r="K131" s="10"/>
      <c r="L131" s="18">
        <v>55</v>
      </c>
      <c r="M131" s="10">
        <v>53</v>
      </c>
      <c r="N131" s="18">
        <v>27.45</v>
      </c>
      <c r="O131" s="10" t="s">
        <v>408</v>
      </c>
      <c r="P131" s="10" t="s">
        <v>337</v>
      </c>
      <c r="Q131" s="10" t="s">
        <v>338</v>
      </c>
      <c r="R131" s="12"/>
      <c r="S131" s="16" t="s">
        <v>410</v>
      </c>
      <c r="T131" s="10" t="s">
        <v>411</v>
      </c>
      <c r="U131" s="10" t="s">
        <v>409</v>
      </c>
      <c r="V131" s="10" t="s">
        <v>28</v>
      </c>
      <c r="W131" s="10">
        <v>1</v>
      </c>
      <c r="X131" s="10">
        <v>1</v>
      </c>
      <c r="Y131" s="10" t="s">
        <v>412</v>
      </c>
      <c r="Z131" s="10" t="s">
        <v>408</v>
      </c>
      <c r="AA131" s="13">
        <v>50</v>
      </c>
      <c r="AB131" s="13">
        <v>26.95</v>
      </c>
      <c r="AC131" s="10">
        <v>0.5</v>
      </c>
    </row>
    <row r="132" spans="1:29" s="14" customFormat="1" ht="15" customHeight="1" x14ac:dyDescent="0.25">
      <c r="A132" s="10">
        <v>131</v>
      </c>
      <c r="B132" s="10"/>
      <c r="C132" s="10"/>
      <c r="D132" s="10"/>
      <c r="E132" s="10"/>
      <c r="F132" s="10">
        <v>0</v>
      </c>
      <c r="G132" s="11" t="s">
        <v>413</v>
      </c>
      <c r="H132" s="10">
        <v>1</v>
      </c>
      <c r="I132" s="10" t="s">
        <v>414</v>
      </c>
      <c r="J132" s="10" t="s">
        <v>27</v>
      </c>
      <c r="K132" s="10"/>
      <c r="L132" s="18">
        <v>55</v>
      </c>
      <c r="M132" s="10">
        <v>53</v>
      </c>
      <c r="N132" s="18">
        <v>27.45</v>
      </c>
      <c r="O132" s="10" t="s">
        <v>413</v>
      </c>
      <c r="P132" s="10" t="s">
        <v>337</v>
      </c>
      <c r="Q132" s="10" t="s">
        <v>338</v>
      </c>
      <c r="R132" s="12"/>
      <c r="S132" s="16" t="s">
        <v>415</v>
      </c>
      <c r="T132" s="10" t="s">
        <v>416</v>
      </c>
      <c r="U132" s="10" t="s">
        <v>414</v>
      </c>
      <c r="V132" s="10" t="s">
        <v>28</v>
      </c>
      <c r="W132" s="10">
        <v>1</v>
      </c>
      <c r="X132" s="10">
        <v>1</v>
      </c>
      <c r="Y132" s="10" t="s">
        <v>417</v>
      </c>
      <c r="Z132" s="10" t="s">
        <v>413</v>
      </c>
      <c r="AA132" s="13">
        <v>50</v>
      </c>
      <c r="AB132" s="13">
        <v>26.95</v>
      </c>
      <c r="AC132" s="10">
        <v>0.5</v>
      </c>
    </row>
    <row r="133" spans="1:29" s="14" customFormat="1" ht="15" customHeight="1" x14ac:dyDescent="0.25">
      <c r="A133" s="10">
        <v>132</v>
      </c>
      <c r="B133" s="10"/>
      <c r="C133" s="10"/>
      <c r="D133" s="10"/>
      <c r="E133" s="10"/>
      <c r="F133" s="10">
        <v>0</v>
      </c>
      <c r="G133" s="11" t="s">
        <v>418</v>
      </c>
      <c r="H133" s="10">
        <v>1</v>
      </c>
      <c r="I133" s="10" t="s">
        <v>419</v>
      </c>
      <c r="J133" s="10" t="s">
        <v>30</v>
      </c>
      <c r="K133" s="10"/>
      <c r="L133" s="19">
        <v>86</v>
      </c>
      <c r="M133" s="10">
        <v>53</v>
      </c>
      <c r="N133" s="19">
        <v>35.700000000000003</v>
      </c>
      <c r="O133" s="10" t="s">
        <v>418</v>
      </c>
      <c r="P133" s="10" t="s">
        <v>40</v>
      </c>
      <c r="Q133" s="10" t="s">
        <v>217</v>
      </c>
      <c r="R133" s="12">
        <v>4045011113703</v>
      </c>
      <c r="S133" s="10" t="s">
        <v>420</v>
      </c>
      <c r="T133" s="10" t="s">
        <v>421</v>
      </c>
      <c r="U133" s="10" t="s">
        <v>419</v>
      </c>
      <c r="V133" s="10" t="s">
        <v>28</v>
      </c>
      <c r="W133" s="10">
        <v>1</v>
      </c>
      <c r="X133" s="10">
        <v>1</v>
      </c>
      <c r="Y133" s="10" t="s">
        <v>422</v>
      </c>
      <c r="Z133" s="10" t="s">
        <v>418</v>
      </c>
      <c r="AA133" s="13">
        <v>0</v>
      </c>
      <c r="AB133" s="13">
        <v>0</v>
      </c>
      <c r="AC133" s="10">
        <v>0.5</v>
      </c>
    </row>
    <row r="134" spans="1:29" s="14" customFormat="1" ht="15" customHeight="1" x14ac:dyDescent="0.25">
      <c r="A134" s="10">
        <v>133</v>
      </c>
      <c r="B134" s="10"/>
      <c r="C134" s="10"/>
      <c r="D134" s="10"/>
      <c r="E134" s="10"/>
      <c r="F134" s="10">
        <v>1</v>
      </c>
      <c r="G134" s="11" t="s">
        <v>423</v>
      </c>
      <c r="H134" s="10">
        <v>1</v>
      </c>
      <c r="I134" s="10" t="s">
        <v>424</v>
      </c>
      <c r="J134" s="10" t="s">
        <v>30</v>
      </c>
      <c r="K134" s="10"/>
      <c r="L134" s="19">
        <v>254</v>
      </c>
      <c r="M134" s="10">
        <v>53</v>
      </c>
      <c r="N134" s="19">
        <v>117.6</v>
      </c>
      <c r="O134" s="10" t="s">
        <v>423</v>
      </c>
      <c r="P134" s="10" t="s">
        <v>40</v>
      </c>
      <c r="Q134" s="10" t="s">
        <v>60</v>
      </c>
      <c r="R134" s="12">
        <v>4045011146039</v>
      </c>
      <c r="S134" s="16" t="s">
        <v>425</v>
      </c>
      <c r="T134" s="10" t="s">
        <v>426</v>
      </c>
      <c r="U134" s="10" t="s">
        <v>424</v>
      </c>
      <c r="V134" s="10" t="s">
        <v>28</v>
      </c>
      <c r="W134" s="10">
        <v>1</v>
      </c>
      <c r="X134" s="10">
        <v>1</v>
      </c>
      <c r="Y134" s="10" t="s">
        <v>427</v>
      </c>
      <c r="Z134" s="10" t="s">
        <v>423</v>
      </c>
      <c r="AA134" s="13">
        <v>254</v>
      </c>
      <c r="AB134" s="13">
        <v>117.6</v>
      </c>
      <c r="AC134" s="10">
        <v>0.5</v>
      </c>
    </row>
    <row r="135" spans="1:29" s="14" customFormat="1" ht="15" customHeight="1" x14ac:dyDescent="0.25">
      <c r="A135" s="10">
        <v>134</v>
      </c>
      <c r="B135" s="10"/>
      <c r="C135" s="10"/>
      <c r="D135" s="10"/>
      <c r="E135" s="10"/>
      <c r="F135" s="10">
        <v>0</v>
      </c>
      <c r="G135" s="11" t="s">
        <v>428</v>
      </c>
      <c r="H135" s="10">
        <v>1</v>
      </c>
      <c r="I135" s="16" t="s">
        <v>429</v>
      </c>
      <c r="J135" s="10" t="s">
        <v>30</v>
      </c>
      <c r="K135" s="10"/>
      <c r="L135" s="9">
        <v>89</v>
      </c>
      <c r="M135" s="10">
        <v>53</v>
      </c>
      <c r="N135" s="9">
        <v>41</v>
      </c>
      <c r="O135" s="10" t="str">
        <f t="shared" ref="O135:O142" si="45">G135</f>
        <v>MA22836013</v>
      </c>
      <c r="P135" s="10" t="s">
        <v>159</v>
      </c>
      <c r="Q135" s="10" t="s">
        <v>160</v>
      </c>
      <c r="R135" s="12"/>
      <c r="S135" s="16" t="s">
        <v>430</v>
      </c>
      <c r="T135" s="10" t="str">
        <f t="shared" ref="T135:T157" si="46">$I135 &amp; "," &amp; $J135 &amp;"," &amp; $P135 &amp;","&amp; $Q135</f>
        <v>MESSER MARTTIINI NETZ MARTEF 190MM,Accueil,Messer plus,feste Klinge,Rapala-Fishco,Marttiini</v>
      </c>
      <c r="U135" s="10" t="str">
        <f t="shared" ref="U135:U157" si="47">I135</f>
        <v>MESSER MARTTIINI NETZ MARTEF 190MM</v>
      </c>
      <c r="V135" s="10" t="str">
        <f t="shared" ref="V135:V157" si="48">T135</f>
        <v>MESSER MARTTIINI NETZ MARTEF 190MM,Accueil,Messer plus,feste Klinge,Rapala-Fishco,Marttiini</v>
      </c>
      <c r="W135" s="10">
        <v>1</v>
      </c>
      <c r="X135" s="10">
        <v>1</v>
      </c>
      <c r="Y135" s="17" t="str">
        <f t="shared" ref="Y135:Y142" si="49" xml:space="preserve"> "http://usfh.ch/img/Messer/" &amp; G135 &amp; ".jpg"</f>
        <v>http://usfh.ch/img/Messer/MA22836013.jpg</v>
      </c>
      <c r="Z135" s="10" t="str">
        <f t="shared" ref="Z135:Z157" si="50">G135</f>
        <v>MA22836013</v>
      </c>
      <c r="AA135" s="13">
        <f t="shared" ref="AA135:AA157" si="51">F135*L135</f>
        <v>0</v>
      </c>
      <c r="AB135" s="13">
        <f t="shared" ref="AB135:AB157" si="52">F135*N135</f>
        <v>0</v>
      </c>
      <c r="AC135" s="10">
        <v>0.5</v>
      </c>
    </row>
    <row r="136" spans="1:29" s="14" customFormat="1" ht="15" customHeight="1" x14ac:dyDescent="0.25">
      <c r="A136" s="10">
        <v>135</v>
      </c>
      <c r="B136" s="10"/>
      <c r="C136" s="10"/>
      <c r="D136" s="10"/>
      <c r="E136" s="10"/>
      <c r="F136" s="10">
        <v>2</v>
      </c>
      <c r="G136" s="11" t="s">
        <v>431</v>
      </c>
      <c r="H136" s="10">
        <v>1</v>
      </c>
      <c r="I136" s="16" t="s">
        <v>432</v>
      </c>
      <c r="J136" s="10" t="s">
        <v>30</v>
      </c>
      <c r="K136" s="10"/>
      <c r="L136" s="9">
        <v>55</v>
      </c>
      <c r="M136" s="10">
        <v>53</v>
      </c>
      <c r="N136" s="9">
        <v>15.1</v>
      </c>
      <c r="O136" s="10" t="str">
        <f t="shared" si="45"/>
        <v>RA2200101</v>
      </c>
      <c r="P136" s="10" t="s">
        <v>159</v>
      </c>
      <c r="Q136" s="10" t="s">
        <v>160</v>
      </c>
      <c r="R136" s="12"/>
      <c r="S136" s="16" t="s">
        <v>433</v>
      </c>
      <c r="T136" s="10" t="str">
        <f t="shared" si="46"/>
        <v>MESSER RAPALA MARTTIINI FISH' N FILLET 15cm BPFNF6SH1,Accueil,Messer plus,feste Klinge,Rapala-Fishco,Marttiini</v>
      </c>
      <c r="U136" s="10" t="str">
        <f t="shared" si="47"/>
        <v>MESSER RAPALA MARTTIINI FISH' N FILLET 15cm BPFNF6SH1</v>
      </c>
      <c r="V136" s="10" t="str">
        <f t="shared" si="48"/>
        <v>MESSER RAPALA MARTTIINI FISH' N FILLET 15cm BPFNF6SH1,Accueil,Messer plus,feste Klinge,Rapala-Fishco,Marttiini</v>
      </c>
      <c r="W136" s="10">
        <v>1</v>
      </c>
      <c r="X136" s="10">
        <v>1</v>
      </c>
      <c r="Y136" s="17" t="str">
        <f t="shared" si="49"/>
        <v>http://usfh.ch/img/Messer/RA2200101.jpg</v>
      </c>
      <c r="Z136" s="10" t="str">
        <f t="shared" si="50"/>
        <v>RA2200101</v>
      </c>
      <c r="AA136" s="13">
        <f t="shared" si="51"/>
        <v>110</v>
      </c>
      <c r="AB136" s="13">
        <f t="shared" si="52"/>
        <v>30.2</v>
      </c>
      <c r="AC136" s="10">
        <v>0.5</v>
      </c>
    </row>
    <row r="137" spans="1:29" s="14" customFormat="1" ht="15" customHeight="1" x14ac:dyDescent="0.25">
      <c r="A137" s="10">
        <v>136</v>
      </c>
      <c r="B137" s="10"/>
      <c r="C137" s="10">
        <v>1</v>
      </c>
      <c r="D137" s="10"/>
      <c r="E137" s="10"/>
      <c r="F137" s="10">
        <v>5</v>
      </c>
      <c r="G137" s="11" t="s">
        <v>434</v>
      </c>
      <c r="H137" s="10">
        <v>1</v>
      </c>
      <c r="I137" s="16" t="s">
        <v>435</v>
      </c>
      <c r="J137" s="10" t="s">
        <v>30</v>
      </c>
      <c r="K137" s="10"/>
      <c r="L137" s="9">
        <v>59</v>
      </c>
      <c r="M137" s="10">
        <v>53</v>
      </c>
      <c r="N137" s="9">
        <v>26.08</v>
      </c>
      <c r="O137" s="10" t="str">
        <f t="shared" si="45"/>
        <v>02SC216</v>
      </c>
      <c r="P137" s="10" t="s">
        <v>40</v>
      </c>
      <c r="Q137" s="10" t="s">
        <v>41</v>
      </c>
      <c r="R137" s="12">
        <v>4045011136924</v>
      </c>
      <c r="S137" s="16" t="s">
        <v>436</v>
      </c>
      <c r="T137" s="10" t="str">
        <f t="shared" si="46"/>
        <v>Flying Bowie,Accueil,Messer plus,feste Klinge,Böker,Magnum</v>
      </c>
      <c r="U137" s="10" t="str">
        <f t="shared" si="47"/>
        <v>Flying Bowie</v>
      </c>
      <c r="V137" s="10" t="str">
        <f t="shared" si="48"/>
        <v>Flying Bowie,Accueil,Messer plus,feste Klinge,Böker,Magnum</v>
      </c>
      <c r="W137" s="10">
        <v>1</v>
      </c>
      <c r="X137" s="10">
        <v>1</v>
      </c>
      <c r="Y137" s="17" t="str">
        <f t="shared" si="49"/>
        <v>http://usfh.ch/img/Messer/02SC216.jpg</v>
      </c>
      <c r="Z137" s="10" t="str">
        <f t="shared" si="50"/>
        <v>02SC216</v>
      </c>
      <c r="AA137" s="13">
        <f t="shared" si="51"/>
        <v>295</v>
      </c>
      <c r="AB137" s="13">
        <f t="shared" si="52"/>
        <v>130.39999999999998</v>
      </c>
      <c r="AC137" s="10">
        <v>0.5</v>
      </c>
    </row>
    <row r="138" spans="1:29" s="14" customFormat="1" ht="15" customHeight="1" x14ac:dyDescent="0.25">
      <c r="A138" s="10">
        <v>137</v>
      </c>
      <c r="B138" s="10"/>
      <c r="C138" s="10"/>
      <c r="D138" s="10"/>
      <c r="E138" s="10"/>
      <c r="F138" s="10">
        <v>3</v>
      </c>
      <c r="G138" s="11">
        <v>83202</v>
      </c>
      <c r="H138" s="10">
        <v>1</v>
      </c>
      <c r="I138" s="16" t="s">
        <v>437</v>
      </c>
      <c r="J138" s="10" t="s">
        <v>30</v>
      </c>
      <c r="K138" s="10"/>
      <c r="L138" s="9">
        <v>35</v>
      </c>
      <c r="M138" s="10">
        <v>53</v>
      </c>
      <c r="N138" s="9">
        <v>11.85</v>
      </c>
      <c r="O138" s="10">
        <f t="shared" si="45"/>
        <v>83202</v>
      </c>
      <c r="P138" s="10" t="s">
        <v>44</v>
      </c>
      <c r="Q138" s="10" t="s">
        <v>44</v>
      </c>
      <c r="R138" s="12">
        <v>4050346832021</v>
      </c>
      <c r="S138" s="16" t="s">
        <v>438</v>
      </c>
      <c r="T138" s="10" t="str">
        <f t="shared" si="46"/>
        <v>Wurfmesserset Small Skorpion,Accueil,Messer plus,feste Klinge,Haller,Haller</v>
      </c>
      <c r="U138" s="10" t="str">
        <f t="shared" si="47"/>
        <v>Wurfmesserset Small Skorpion</v>
      </c>
      <c r="V138" s="10" t="str">
        <f t="shared" si="48"/>
        <v>Wurfmesserset Small Skorpion,Accueil,Messer plus,feste Klinge,Haller,Haller</v>
      </c>
      <c r="W138" s="10">
        <v>1</v>
      </c>
      <c r="X138" s="10">
        <v>1</v>
      </c>
      <c r="Y138" s="17" t="str">
        <f t="shared" si="49"/>
        <v>http://usfh.ch/img/Messer/83202.jpg</v>
      </c>
      <c r="Z138" s="10">
        <f t="shared" si="50"/>
        <v>83202</v>
      </c>
      <c r="AA138" s="13">
        <f t="shared" si="51"/>
        <v>105</v>
      </c>
      <c r="AB138" s="13">
        <f t="shared" si="52"/>
        <v>35.549999999999997</v>
      </c>
      <c r="AC138" s="10">
        <v>0.5</v>
      </c>
    </row>
    <row r="139" spans="1:29" s="14" customFormat="1" ht="15" customHeight="1" x14ac:dyDescent="0.25">
      <c r="A139" s="10">
        <v>138</v>
      </c>
      <c r="B139" s="10"/>
      <c r="C139" s="10">
        <v>1</v>
      </c>
      <c r="D139" s="10"/>
      <c r="E139" s="10"/>
      <c r="F139" s="10">
        <v>0</v>
      </c>
      <c r="G139" s="11" t="s">
        <v>439</v>
      </c>
      <c r="H139" s="10">
        <v>1</v>
      </c>
      <c r="I139" s="10" t="s">
        <v>440</v>
      </c>
      <c r="J139" s="10" t="s">
        <v>27</v>
      </c>
      <c r="K139" s="10"/>
      <c r="L139" s="9">
        <v>125</v>
      </c>
      <c r="M139" s="10">
        <v>53</v>
      </c>
      <c r="N139" s="9">
        <v>59.3</v>
      </c>
      <c r="O139" s="10" t="str">
        <f t="shared" si="45"/>
        <v>dee043</v>
      </c>
      <c r="P139" s="10" t="s">
        <v>337</v>
      </c>
      <c r="Q139" s="10" t="s">
        <v>338</v>
      </c>
      <c r="R139" s="12"/>
      <c r="S139" s="16" t="s">
        <v>441</v>
      </c>
      <c r="T139" s="10" t="str">
        <f t="shared" si="46"/>
        <v>Deejo the Kiss 37g Granadilla Wood mirror,Accueil,Messer plus,Klappmesser,naturzone,Deejo</v>
      </c>
      <c r="U139" s="10" t="str">
        <f t="shared" si="47"/>
        <v>Deejo the Kiss 37g Granadilla Wood mirror</v>
      </c>
      <c r="V139" s="10" t="str">
        <f t="shared" si="48"/>
        <v>Deejo the Kiss 37g Granadilla Wood mirror,Accueil,Messer plus,Klappmesser,naturzone,Deejo</v>
      </c>
      <c r="W139" s="10">
        <v>1</v>
      </c>
      <c r="X139" s="10">
        <v>1</v>
      </c>
      <c r="Y139" s="17" t="str">
        <f t="shared" si="49"/>
        <v>http://usfh.ch/img/Messer/dee043.jpg</v>
      </c>
      <c r="Z139" s="10" t="str">
        <f t="shared" si="50"/>
        <v>dee043</v>
      </c>
      <c r="AA139" s="13">
        <f t="shared" si="51"/>
        <v>0</v>
      </c>
      <c r="AB139" s="13">
        <f t="shared" si="52"/>
        <v>0</v>
      </c>
      <c r="AC139" s="10">
        <v>0.5</v>
      </c>
    </row>
    <row r="140" spans="1:29" s="14" customFormat="1" ht="15" customHeight="1" x14ac:dyDescent="0.25">
      <c r="A140" s="10">
        <v>139</v>
      </c>
      <c r="B140" s="10"/>
      <c r="C140" s="10">
        <v>1</v>
      </c>
      <c r="D140" s="10"/>
      <c r="E140" s="10"/>
      <c r="F140" s="10">
        <v>2</v>
      </c>
      <c r="G140" s="11" t="s">
        <v>442</v>
      </c>
      <c r="H140" s="10">
        <v>1</v>
      </c>
      <c r="I140" s="10" t="s">
        <v>443</v>
      </c>
      <c r="J140" s="10" t="s">
        <v>27</v>
      </c>
      <c r="K140" s="10"/>
      <c r="L140" s="9">
        <v>16</v>
      </c>
      <c r="M140" s="10">
        <v>53</v>
      </c>
      <c r="N140" s="9">
        <v>8.6999999999999993</v>
      </c>
      <c r="O140" s="10" t="str">
        <f t="shared" si="45"/>
        <v>09OE006</v>
      </c>
      <c r="P140" s="10" t="s">
        <v>40</v>
      </c>
      <c r="Q140" s="10" t="s">
        <v>217</v>
      </c>
      <c r="R140" s="12">
        <v>4045011113758</v>
      </c>
      <c r="S140" s="16" t="s">
        <v>444</v>
      </c>
      <c r="T140" s="10" t="str">
        <f t="shared" si="46"/>
        <v>Razor Lite Replacement Blades (6 Stück),Accueil,Messer plus,Klappmesser,Böker,Outdoor Edge</v>
      </c>
      <c r="U140" s="10" t="str">
        <f t="shared" si="47"/>
        <v>Razor Lite Replacement Blades (6 Stück)</v>
      </c>
      <c r="V140" s="10" t="str">
        <f t="shared" si="48"/>
        <v>Razor Lite Replacement Blades (6 Stück),Accueil,Messer plus,Klappmesser,Böker,Outdoor Edge</v>
      </c>
      <c r="W140" s="10">
        <v>1</v>
      </c>
      <c r="X140" s="10">
        <v>1</v>
      </c>
      <c r="Y140" s="17" t="str">
        <f t="shared" si="49"/>
        <v>http://usfh.ch/img/Messer/09OE006.jpg</v>
      </c>
      <c r="Z140" s="10" t="str">
        <f t="shared" si="50"/>
        <v>09OE006</v>
      </c>
      <c r="AA140" s="13">
        <f t="shared" si="51"/>
        <v>32</v>
      </c>
      <c r="AB140" s="13">
        <f t="shared" si="52"/>
        <v>17.399999999999999</v>
      </c>
      <c r="AC140" s="10">
        <v>0.5</v>
      </c>
    </row>
    <row r="141" spans="1:29" s="14" customFormat="1" ht="15" customHeight="1" x14ac:dyDescent="0.25">
      <c r="A141" s="10">
        <v>140</v>
      </c>
      <c r="B141" s="10"/>
      <c r="C141" s="10">
        <v>1</v>
      </c>
      <c r="D141" s="10"/>
      <c r="E141" s="10"/>
      <c r="F141" s="10">
        <v>0</v>
      </c>
      <c r="G141" s="11" t="s">
        <v>445</v>
      </c>
      <c r="H141" s="10">
        <v>1</v>
      </c>
      <c r="I141" s="10" t="s">
        <v>446</v>
      </c>
      <c r="J141" s="10" t="s">
        <v>30</v>
      </c>
      <c r="K141" s="10"/>
      <c r="L141" s="9">
        <v>89</v>
      </c>
      <c r="M141" s="10">
        <v>53</v>
      </c>
      <c r="N141" s="9">
        <v>46.6</v>
      </c>
      <c r="O141" s="10" t="str">
        <f t="shared" si="45"/>
        <v>MA2211006</v>
      </c>
      <c r="P141" s="10" t="s">
        <v>159</v>
      </c>
      <c r="Q141" s="10" t="s">
        <v>447</v>
      </c>
      <c r="R141" s="12"/>
      <c r="S141" s="16" t="s">
        <v>448</v>
      </c>
      <c r="T141" s="10" t="str">
        <f t="shared" si="46"/>
        <v>MESSER MARTTINII FULL TANG 250,Accueil,Messer plus,feste Klinge,Rapala-Fishco,Marttinii</v>
      </c>
      <c r="U141" s="10" t="str">
        <f t="shared" si="47"/>
        <v>MESSER MARTTINII FULL TANG 250</v>
      </c>
      <c r="V141" s="10" t="str">
        <f t="shared" si="48"/>
        <v>MESSER MARTTINII FULL TANG 250,Accueil,Messer plus,feste Klinge,Rapala-Fishco,Marttinii</v>
      </c>
      <c r="W141" s="10">
        <v>1</v>
      </c>
      <c r="X141" s="10">
        <v>1</v>
      </c>
      <c r="Y141" s="17" t="str">
        <f t="shared" si="49"/>
        <v>http://usfh.ch/img/Messer/MA2211006.jpg</v>
      </c>
      <c r="Z141" s="10" t="str">
        <f t="shared" si="50"/>
        <v>MA2211006</v>
      </c>
      <c r="AA141" s="13">
        <f t="shared" si="51"/>
        <v>0</v>
      </c>
      <c r="AB141" s="13">
        <f t="shared" si="52"/>
        <v>0</v>
      </c>
      <c r="AC141" s="10">
        <v>0.5</v>
      </c>
    </row>
    <row r="142" spans="1:29" s="14" customFormat="1" ht="15" customHeight="1" x14ac:dyDescent="0.25">
      <c r="A142" s="10">
        <v>141</v>
      </c>
      <c r="B142" s="10"/>
      <c r="C142" s="10"/>
      <c r="D142" s="10"/>
      <c r="E142" s="10"/>
      <c r="F142" s="10">
        <v>2</v>
      </c>
      <c r="G142" s="11" t="s">
        <v>449</v>
      </c>
      <c r="H142" s="10">
        <v>1</v>
      </c>
      <c r="I142" s="16" t="s">
        <v>450</v>
      </c>
      <c r="J142" s="10" t="s">
        <v>30</v>
      </c>
      <c r="K142" s="10"/>
      <c r="L142" s="9">
        <v>65</v>
      </c>
      <c r="M142" s="10">
        <v>53</v>
      </c>
      <c r="N142" s="9">
        <v>24</v>
      </c>
      <c r="O142" s="10" t="str">
        <f t="shared" si="45"/>
        <v>RA2200102</v>
      </c>
      <c r="P142" s="10" t="s">
        <v>159</v>
      </c>
      <c r="Q142" s="10" t="s">
        <v>160</v>
      </c>
      <c r="R142" s="12"/>
      <c r="S142" s="16" t="s">
        <v>451</v>
      </c>
      <c r="T142" s="10" t="str">
        <f t="shared" si="46"/>
        <v>MESSER RAPALA MARTTIINI FISH' N FILLET 19cm BPFNF7SH1,Accueil,Messer plus,feste Klinge,Rapala-Fishco,Marttiini</v>
      </c>
      <c r="U142" s="10" t="str">
        <f t="shared" si="47"/>
        <v>MESSER RAPALA MARTTIINI FISH' N FILLET 19cm BPFNF7SH1</v>
      </c>
      <c r="V142" s="10" t="str">
        <f t="shared" si="48"/>
        <v>MESSER RAPALA MARTTIINI FISH' N FILLET 19cm BPFNF7SH1,Accueil,Messer plus,feste Klinge,Rapala-Fishco,Marttiini</v>
      </c>
      <c r="W142" s="10">
        <v>1</v>
      </c>
      <c r="X142" s="10">
        <v>1</v>
      </c>
      <c r="Y142" s="17" t="str">
        <f t="shared" si="49"/>
        <v>http://usfh.ch/img/Messer/RA2200102.jpg</v>
      </c>
      <c r="Z142" s="10" t="str">
        <f t="shared" si="50"/>
        <v>RA2200102</v>
      </c>
      <c r="AA142" s="13">
        <f t="shared" si="51"/>
        <v>130</v>
      </c>
      <c r="AB142" s="13">
        <f t="shared" si="52"/>
        <v>48</v>
      </c>
      <c r="AC142" s="10">
        <v>0.5</v>
      </c>
    </row>
    <row r="143" spans="1:29" s="14" customFormat="1" ht="15" customHeight="1" x14ac:dyDescent="0.25">
      <c r="A143" s="10">
        <v>142</v>
      </c>
      <c r="B143" s="10"/>
      <c r="C143" s="10"/>
      <c r="D143" s="10"/>
      <c r="E143" s="10"/>
      <c r="F143" s="10">
        <v>2</v>
      </c>
      <c r="G143" s="11" t="s">
        <v>453</v>
      </c>
      <c r="H143" s="10">
        <v>1</v>
      </c>
      <c r="I143" s="16" t="s">
        <v>454</v>
      </c>
      <c r="J143" s="10" t="s">
        <v>27</v>
      </c>
      <c r="K143" s="10"/>
      <c r="L143" s="9">
        <v>49</v>
      </c>
      <c r="M143" s="10">
        <v>53</v>
      </c>
      <c r="N143" s="9">
        <v>16.2</v>
      </c>
      <c r="O143" s="10" t="str">
        <f t="shared" ref="O143:O157" si="53">G143</f>
        <v>01RU037</v>
      </c>
      <c r="P143" s="10" t="s">
        <v>40</v>
      </c>
      <c r="Q143" s="10" t="s">
        <v>452</v>
      </c>
      <c r="R143" s="12">
        <v>4045011139420</v>
      </c>
      <c r="S143" s="16" t="s">
        <v>455</v>
      </c>
      <c r="T143" s="10" t="str">
        <f t="shared" si="46"/>
        <v>25 Siroco Folding Knife,Accueil,Messer plus,Klappmesser,Böker,RUI</v>
      </c>
      <c r="U143" s="10" t="str">
        <f t="shared" si="47"/>
        <v>25 Siroco Folding Knife</v>
      </c>
      <c r="V143" s="10" t="str">
        <f t="shared" si="48"/>
        <v>25 Siroco Folding Knife,Accueil,Messer plus,Klappmesser,Böker,RUI</v>
      </c>
      <c r="W143" s="10">
        <v>1</v>
      </c>
      <c r="X143" s="10">
        <v>1</v>
      </c>
      <c r="Y143" s="17" t="str">
        <f t="shared" ref="Y143:Y157" si="54" xml:space="preserve"> "http://usfh.ch/img/Messer/" &amp; G143 &amp; ".jpg"</f>
        <v>http://usfh.ch/img/Messer/01RU037.jpg</v>
      </c>
      <c r="Z143" s="10" t="str">
        <f t="shared" si="50"/>
        <v>01RU037</v>
      </c>
      <c r="AA143" s="13">
        <f t="shared" si="51"/>
        <v>98</v>
      </c>
      <c r="AB143" s="13">
        <f t="shared" si="52"/>
        <v>32.4</v>
      </c>
      <c r="AC143" s="10">
        <v>0.5</v>
      </c>
    </row>
    <row r="144" spans="1:29" s="14" customFormat="1" ht="15" customHeight="1" x14ac:dyDescent="0.25">
      <c r="A144" s="10">
        <v>143</v>
      </c>
      <c r="B144" s="10"/>
      <c r="C144" s="10"/>
      <c r="D144" s="10"/>
      <c r="E144" s="10"/>
      <c r="F144" s="10">
        <v>0</v>
      </c>
      <c r="G144" s="11">
        <v>88228</v>
      </c>
      <c r="H144" s="10">
        <v>1</v>
      </c>
      <c r="I144" s="16" t="s">
        <v>456</v>
      </c>
      <c r="J144" s="10" t="s">
        <v>30</v>
      </c>
      <c r="K144" s="10"/>
      <c r="L144" s="9">
        <v>52</v>
      </c>
      <c r="M144" s="10">
        <v>53</v>
      </c>
      <c r="N144" s="9">
        <v>21.8</v>
      </c>
      <c r="O144" s="10">
        <f t="shared" si="53"/>
        <v>88228</v>
      </c>
      <c r="P144" s="10" t="s">
        <v>44</v>
      </c>
      <c r="Q144" s="10" t="s">
        <v>111</v>
      </c>
      <c r="R144" s="12">
        <v>4050346882286</v>
      </c>
      <c r="S144" s="16" t="s">
        <v>457</v>
      </c>
      <c r="T144" s="10" t="str">
        <f t="shared" si="46"/>
        <v>BlackField SMALL DESERT STORM,Accueil,Messer plus,feste Klinge,Haller,BlackField</v>
      </c>
      <c r="U144" s="10" t="str">
        <f t="shared" si="47"/>
        <v>BlackField SMALL DESERT STORM</v>
      </c>
      <c r="V144" s="10" t="str">
        <f t="shared" si="48"/>
        <v>BlackField SMALL DESERT STORM,Accueil,Messer plus,feste Klinge,Haller,BlackField</v>
      </c>
      <c r="W144" s="10">
        <v>1</v>
      </c>
      <c r="X144" s="10">
        <v>1</v>
      </c>
      <c r="Y144" s="17" t="str">
        <f t="shared" si="54"/>
        <v>http://usfh.ch/img/Messer/88228.jpg</v>
      </c>
      <c r="Z144" s="10">
        <f t="shared" si="50"/>
        <v>88228</v>
      </c>
      <c r="AA144" s="13">
        <f t="shared" si="51"/>
        <v>0</v>
      </c>
      <c r="AB144" s="13">
        <f t="shared" si="52"/>
        <v>0</v>
      </c>
      <c r="AC144" s="10">
        <v>0.5</v>
      </c>
    </row>
    <row r="145" spans="1:29" s="14" customFormat="1" ht="15" customHeight="1" x14ac:dyDescent="0.25">
      <c r="A145" s="10">
        <v>144</v>
      </c>
      <c r="B145" s="10"/>
      <c r="C145" s="10"/>
      <c r="D145" s="10"/>
      <c r="E145" s="10"/>
      <c r="F145" s="10">
        <v>2</v>
      </c>
      <c r="G145" s="11">
        <v>169716</v>
      </c>
      <c r="H145" s="10">
        <v>1</v>
      </c>
      <c r="I145" s="16" t="s">
        <v>458</v>
      </c>
      <c r="J145" s="10" t="s">
        <v>30</v>
      </c>
      <c r="K145" s="10"/>
      <c r="L145" s="9">
        <v>49</v>
      </c>
      <c r="M145" s="10">
        <v>53</v>
      </c>
      <c r="N145" s="9">
        <v>18.3</v>
      </c>
      <c r="O145" s="10">
        <f t="shared" si="53"/>
        <v>169716</v>
      </c>
      <c r="P145" s="10" t="s">
        <v>76</v>
      </c>
      <c r="Q145" s="10" t="s">
        <v>76</v>
      </c>
      <c r="R145" s="12">
        <v>4045333001221</v>
      </c>
      <c r="S145" s="16" t="s">
        <v>459</v>
      </c>
      <c r="T145" s="10" t="str">
        <f t="shared" si="46"/>
        <v>Schwimmendes Filetmesser,Accueil,Messer plus,feste Klinge,Linder,Linder</v>
      </c>
      <c r="U145" s="10" t="str">
        <f t="shared" si="47"/>
        <v>Schwimmendes Filetmesser</v>
      </c>
      <c r="V145" s="10" t="str">
        <f t="shared" si="48"/>
        <v>Schwimmendes Filetmesser,Accueil,Messer plus,feste Klinge,Linder,Linder</v>
      </c>
      <c r="W145" s="10">
        <v>1</v>
      </c>
      <c r="X145" s="10">
        <v>1</v>
      </c>
      <c r="Y145" s="17" t="str">
        <f t="shared" si="54"/>
        <v>http://usfh.ch/img/Messer/169716.jpg</v>
      </c>
      <c r="Z145" s="10">
        <f t="shared" si="50"/>
        <v>169716</v>
      </c>
      <c r="AA145" s="13">
        <f t="shared" si="51"/>
        <v>98</v>
      </c>
      <c r="AB145" s="13">
        <f t="shared" si="52"/>
        <v>36.6</v>
      </c>
      <c r="AC145" s="10">
        <v>0.5</v>
      </c>
    </row>
    <row r="146" spans="1:29" s="14" customFormat="1" ht="15" customHeight="1" x14ac:dyDescent="0.25">
      <c r="A146" s="10">
        <v>145</v>
      </c>
      <c r="B146" s="10"/>
      <c r="C146" s="10"/>
      <c r="D146" s="10"/>
      <c r="E146" s="10"/>
      <c r="F146" s="10">
        <v>3</v>
      </c>
      <c r="G146" s="11">
        <v>88780</v>
      </c>
      <c r="H146" s="10">
        <v>1</v>
      </c>
      <c r="I146" s="16" t="s">
        <v>460</v>
      </c>
      <c r="J146" s="10" t="s">
        <v>30</v>
      </c>
      <c r="K146" s="10"/>
      <c r="L146" s="9">
        <v>59</v>
      </c>
      <c r="M146" s="10">
        <v>53</v>
      </c>
      <c r="N146" s="9">
        <v>23.95</v>
      </c>
      <c r="O146" s="10">
        <f t="shared" si="53"/>
        <v>88780</v>
      </c>
      <c r="P146" s="10" t="s">
        <v>44</v>
      </c>
      <c r="Q146" s="10" t="s">
        <v>461</v>
      </c>
      <c r="R146" s="12">
        <v>4050346887809</v>
      </c>
      <c r="S146" s="16" t="s">
        <v>462</v>
      </c>
      <c r="T146" s="10" t="str">
        <f t="shared" si="46"/>
        <v>WithArmour Garfish,Accueil,Messer plus,feste Klinge,Haller,WithArmour</v>
      </c>
      <c r="U146" s="10" t="str">
        <f t="shared" si="47"/>
        <v>WithArmour Garfish</v>
      </c>
      <c r="V146" s="10" t="str">
        <f t="shared" si="48"/>
        <v>WithArmour Garfish,Accueil,Messer plus,feste Klinge,Haller,WithArmour</v>
      </c>
      <c r="W146" s="10">
        <v>1</v>
      </c>
      <c r="X146" s="10">
        <v>1</v>
      </c>
      <c r="Y146" s="17" t="str">
        <f t="shared" si="54"/>
        <v>http://usfh.ch/img/Messer/88780.jpg</v>
      </c>
      <c r="Z146" s="10">
        <f t="shared" si="50"/>
        <v>88780</v>
      </c>
      <c r="AA146" s="13">
        <f t="shared" si="51"/>
        <v>177</v>
      </c>
      <c r="AB146" s="13">
        <f t="shared" si="52"/>
        <v>71.849999999999994</v>
      </c>
      <c r="AC146" s="10">
        <v>0.5</v>
      </c>
    </row>
    <row r="147" spans="1:29" s="14" customFormat="1" ht="15" customHeight="1" x14ac:dyDescent="0.25">
      <c r="A147" s="10">
        <v>146</v>
      </c>
      <c r="B147" s="10"/>
      <c r="C147" s="10"/>
      <c r="D147" s="10"/>
      <c r="E147" s="10"/>
      <c r="F147" s="10">
        <v>6</v>
      </c>
      <c r="G147" s="11" t="s">
        <v>463</v>
      </c>
      <c r="H147" s="10">
        <v>1</v>
      </c>
      <c r="I147" s="16" t="s">
        <v>464</v>
      </c>
      <c r="J147" s="10" t="s">
        <v>27</v>
      </c>
      <c r="K147" s="10"/>
      <c r="L147" s="9">
        <v>79</v>
      </c>
      <c r="M147" s="10">
        <v>53</v>
      </c>
      <c r="N147" s="9">
        <v>32.15</v>
      </c>
      <c r="O147" s="10" t="str">
        <f t="shared" si="53"/>
        <v>01KALS91</v>
      </c>
      <c r="P147" s="10" t="s">
        <v>40</v>
      </c>
      <c r="Q147" s="10" t="s">
        <v>465</v>
      </c>
      <c r="R147" s="12">
        <v>4045011147654</v>
      </c>
      <c r="S147" s="16" t="s">
        <v>466</v>
      </c>
      <c r="T147" s="10" t="str">
        <f t="shared" si="46"/>
        <v>AKS-74 Stubby Swiss Edition,Accueil,Messer plus,Klappmesser,Böker,Kalashnikov</v>
      </c>
      <c r="U147" s="10" t="str">
        <f t="shared" si="47"/>
        <v>AKS-74 Stubby Swiss Edition</v>
      </c>
      <c r="V147" s="10" t="str">
        <f t="shared" si="48"/>
        <v>AKS-74 Stubby Swiss Edition,Accueil,Messer plus,Klappmesser,Böker,Kalashnikov</v>
      </c>
      <c r="W147" s="10">
        <v>1</v>
      </c>
      <c r="X147" s="10">
        <v>1</v>
      </c>
      <c r="Y147" s="17" t="str">
        <f t="shared" si="54"/>
        <v>http://usfh.ch/img/Messer/01KALS91.jpg</v>
      </c>
      <c r="Z147" s="10" t="str">
        <f t="shared" si="50"/>
        <v>01KALS91</v>
      </c>
      <c r="AA147" s="13">
        <f t="shared" si="51"/>
        <v>474</v>
      </c>
      <c r="AB147" s="13">
        <f t="shared" si="52"/>
        <v>192.89999999999998</v>
      </c>
      <c r="AC147" s="10">
        <v>0.5</v>
      </c>
    </row>
    <row r="148" spans="1:29" s="14" customFormat="1" ht="15" customHeight="1" x14ac:dyDescent="0.25">
      <c r="A148" s="10">
        <v>147</v>
      </c>
      <c r="B148" s="10"/>
      <c r="C148" s="10"/>
      <c r="D148" s="10"/>
      <c r="E148" s="10"/>
      <c r="F148" s="10">
        <v>0</v>
      </c>
      <c r="G148" s="11" t="s">
        <v>468</v>
      </c>
      <c r="H148" s="10">
        <v>1</v>
      </c>
      <c r="I148" s="16" t="s">
        <v>469</v>
      </c>
      <c r="J148" s="10" t="s">
        <v>30</v>
      </c>
      <c r="K148" s="10"/>
      <c r="L148" s="9">
        <v>299</v>
      </c>
      <c r="M148" s="10">
        <v>53</v>
      </c>
      <c r="N148" s="9">
        <v>193</v>
      </c>
      <c r="O148" s="10" t="str">
        <f t="shared" si="53"/>
        <v>CST-88HNHD</v>
      </c>
      <c r="P148" s="10" t="s">
        <v>467</v>
      </c>
      <c r="Q148" s="10" t="s">
        <v>467</v>
      </c>
      <c r="R148" s="12"/>
      <c r="S148" s="16" t="s">
        <v>470</v>
      </c>
      <c r="T148" s="10" t="str">
        <f t="shared" si="46"/>
        <v>Bastarddolch mit Scheide, Begleitdolch für Anderthalbhänder,Accueil,Messer plus,feste Klinge,ColdSteel,ColdSteel</v>
      </c>
      <c r="U148" s="10" t="str">
        <f t="shared" si="47"/>
        <v>Bastarddolch mit Scheide, Begleitdolch für Anderthalbhänder</v>
      </c>
      <c r="V148" s="10" t="str">
        <f t="shared" si="48"/>
        <v>Bastarddolch mit Scheide, Begleitdolch für Anderthalbhänder,Accueil,Messer plus,feste Klinge,ColdSteel,ColdSteel</v>
      </c>
      <c r="W148" s="10">
        <v>1</v>
      </c>
      <c r="X148" s="10">
        <v>1</v>
      </c>
      <c r="Y148" s="17" t="str">
        <f t="shared" si="54"/>
        <v>http://usfh.ch/img/Messer/CST-88HNHD.jpg</v>
      </c>
      <c r="Z148" s="10" t="str">
        <f t="shared" si="50"/>
        <v>CST-88HNHD</v>
      </c>
      <c r="AA148" s="13">
        <f t="shared" si="51"/>
        <v>0</v>
      </c>
      <c r="AB148" s="13">
        <f t="shared" si="52"/>
        <v>0</v>
      </c>
      <c r="AC148" s="10">
        <v>0.5</v>
      </c>
    </row>
    <row r="149" spans="1:29" s="14" customFormat="1" ht="15" customHeight="1" x14ac:dyDescent="0.25">
      <c r="A149" s="10">
        <v>148</v>
      </c>
      <c r="B149" s="10"/>
      <c r="C149" s="10"/>
      <c r="D149" s="10"/>
      <c r="E149" s="10"/>
      <c r="F149" s="10">
        <v>2</v>
      </c>
      <c r="G149" s="11" t="s">
        <v>471</v>
      </c>
      <c r="H149" s="10">
        <v>1</v>
      </c>
      <c r="I149" s="16" t="s">
        <v>472</v>
      </c>
      <c r="J149" s="10" t="s">
        <v>30</v>
      </c>
      <c r="K149" s="10"/>
      <c r="L149" s="9">
        <v>55</v>
      </c>
      <c r="M149" s="10">
        <v>53</v>
      </c>
      <c r="N149" s="9">
        <v>25.99</v>
      </c>
      <c r="O149" s="10" t="str">
        <f t="shared" si="53"/>
        <v>CST-20PBS</v>
      </c>
      <c r="P149" s="10" t="s">
        <v>467</v>
      </c>
      <c r="Q149" s="10" t="s">
        <v>467</v>
      </c>
      <c r="R149" s="12"/>
      <c r="S149" s="16" t="s">
        <v>473</v>
      </c>
      <c r="T149" s="10" t="str">
        <f t="shared" si="46"/>
        <v>Peace Maker III, Stiefelmesser,Accueil,Messer plus,feste Klinge,ColdSteel,ColdSteel</v>
      </c>
      <c r="U149" s="10" t="str">
        <f t="shared" si="47"/>
        <v>Peace Maker III, Stiefelmesser</v>
      </c>
      <c r="V149" s="10" t="str">
        <f t="shared" si="48"/>
        <v>Peace Maker III, Stiefelmesser,Accueil,Messer plus,feste Klinge,ColdSteel,ColdSteel</v>
      </c>
      <c r="W149" s="10">
        <v>1</v>
      </c>
      <c r="X149" s="10">
        <v>1</v>
      </c>
      <c r="Y149" s="17" t="str">
        <f t="shared" si="54"/>
        <v>http://usfh.ch/img/Messer/CST-20PBS.jpg</v>
      </c>
      <c r="Z149" s="10" t="str">
        <f t="shared" si="50"/>
        <v>CST-20PBS</v>
      </c>
      <c r="AA149" s="13">
        <f t="shared" si="51"/>
        <v>110</v>
      </c>
      <c r="AB149" s="13">
        <f t="shared" si="52"/>
        <v>51.98</v>
      </c>
      <c r="AC149" s="10">
        <v>0.5</v>
      </c>
    </row>
    <row r="150" spans="1:29" s="14" customFormat="1" ht="15" customHeight="1" x14ac:dyDescent="0.25">
      <c r="A150" s="10">
        <v>149</v>
      </c>
      <c r="B150" s="10"/>
      <c r="C150" s="10"/>
      <c r="D150" s="10"/>
      <c r="E150" s="10"/>
      <c r="F150" s="10">
        <v>2</v>
      </c>
      <c r="G150" s="11" t="s">
        <v>474</v>
      </c>
      <c r="H150" s="10">
        <v>1</v>
      </c>
      <c r="I150" s="16" t="s">
        <v>475</v>
      </c>
      <c r="J150" s="10" t="s">
        <v>30</v>
      </c>
      <c r="K150" s="10"/>
      <c r="L150" s="9">
        <v>69</v>
      </c>
      <c r="M150" s="10">
        <v>53</v>
      </c>
      <c r="N150" s="9">
        <v>34.1</v>
      </c>
      <c r="O150" s="10" t="str">
        <f t="shared" si="53"/>
        <v>CST-20PBL</v>
      </c>
      <c r="P150" s="10" t="s">
        <v>467</v>
      </c>
      <c r="Q150" s="10" t="s">
        <v>467</v>
      </c>
      <c r="R150" s="12"/>
      <c r="S150" s="16" t="s">
        <v>476</v>
      </c>
      <c r="T150" s="10" t="str">
        <f t="shared" si="46"/>
        <v>Peace Maker II, Stiefelmesser,Accueil,Messer plus,feste Klinge,ColdSteel,ColdSteel</v>
      </c>
      <c r="U150" s="10" t="str">
        <f t="shared" si="47"/>
        <v>Peace Maker II, Stiefelmesser</v>
      </c>
      <c r="V150" s="10" t="str">
        <f t="shared" si="48"/>
        <v>Peace Maker II, Stiefelmesser,Accueil,Messer plus,feste Klinge,ColdSteel,ColdSteel</v>
      </c>
      <c r="W150" s="10">
        <v>1</v>
      </c>
      <c r="X150" s="10">
        <v>1</v>
      </c>
      <c r="Y150" s="17" t="str">
        <f t="shared" si="54"/>
        <v>http://usfh.ch/img/Messer/CST-20PBL.jpg</v>
      </c>
      <c r="Z150" s="10" t="str">
        <f t="shared" si="50"/>
        <v>CST-20PBL</v>
      </c>
      <c r="AA150" s="13">
        <f t="shared" si="51"/>
        <v>138</v>
      </c>
      <c r="AB150" s="13">
        <f t="shared" si="52"/>
        <v>68.2</v>
      </c>
      <c r="AC150" s="10">
        <v>0.5</v>
      </c>
    </row>
    <row r="151" spans="1:29" s="14" customFormat="1" ht="15" customHeight="1" x14ac:dyDescent="0.25">
      <c r="A151" s="10">
        <v>150</v>
      </c>
      <c r="B151" s="10"/>
      <c r="C151" s="10"/>
      <c r="D151" s="10"/>
      <c r="E151" s="10"/>
      <c r="F151" s="10">
        <v>2</v>
      </c>
      <c r="G151" s="11" t="s">
        <v>477</v>
      </c>
      <c r="H151" s="10">
        <v>1</v>
      </c>
      <c r="I151" s="16" t="s">
        <v>478</v>
      </c>
      <c r="J151" s="10" t="s">
        <v>30</v>
      </c>
      <c r="K151" s="10"/>
      <c r="L151" s="9">
        <v>96</v>
      </c>
      <c r="M151" s="10">
        <v>53</v>
      </c>
      <c r="N151" s="9">
        <v>50</v>
      </c>
      <c r="O151" s="10" t="str">
        <f t="shared" si="53"/>
        <v>CST-17T</v>
      </c>
      <c r="P151" s="10" t="s">
        <v>467</v>
      </c>
      <c r="Q151" s="10" t="s">
        <v>467</v>
      </c>
      <c r="R151" s="12"/>
      <c r="S151" s="16" t="s">
        <v>479</v>
      </c>
      <c r="T151" s="10" t="str">
        <f t="shared" si="46"/>
        <v>Kobun, Stiefelmesser mit Tantoklinge,Accueil,Messer plus,feste Klinge,ColdSteel,ColdSteel</v>
      </c>
      <c r="U151" s="10" t="str">
        <f t="shared" si="47"/>
        <v>Kobun, Stiefelmesser mit Tantoklinge</v>
      </c>
      <c r="V151" s="10" t="str">
        <f t="shared" si="48"/>
        <v>Kobun, Stiefelmesser mit Tantoklinge,Accueil,Messer plus,feste Klinge,ColdSteel,ColdSteel</v>
      </c>
      <c r="W151" s="10">
        <v>1</v>
      </c>
      <c r="X151" s="10">
        <v>1</v>
      </c>
      <c r="Y151" s="17" t="str">
        <f t="shared" si="54"/>
        <v>http://usfh.ch/img/Messer/CST-17T.jpg</v>
      </c>
      <c r="Z151" s="10" t="str">
        <f t="shared" si="50"/>
        <v>CST-17T</v>
      </c>
      <c r="AA151" s="13">
        <f t="shared" si="51"/>
        <v>192</v>
      </c>
      <c r="AB151" s="13">
        <f t="shared" si="52"/>
        <v>100</v>
      </c>
      <c r="AC151" s="10">
        <v>0.5</v>
      </c>
    </row>
    <row r="152" spans="1:29" s="14" customFormat="1" ht="15" customHeight="1" x14ac:dyDescent="0.25">
      <c r="A152" s="10">
        <v>151</v>
      </c>
      <c r="B152" s="10"/>
      <c r="C152" s="10"/>
      <c r="D152" s="10"/>
      <c r="E152" s="10"/>
      <c r="F152" s="10">
        <v>1</v>
      </c>
      <c r="G152" s="11">
        <v>10599706000</v>
      </c>
      <c r="H152" s="10">
        <v>1</v>
      </c>
      <c r="I152" s="10" t="s">
        <v>480</v>
      </c>
      <c r="J152" s="10" t="s">
        <v>27</v>
      </c>
      <c r="K152" s="10"/>
      <c r="L152" s="9">
        <v>35</v>
      </c>
      <c r="M152" s="10">
        <v>53</v>
      </c>
      <c r="N152" s="9">
        <v>11.45</v>
      </c>
      <c r="O152" s="10">
        <f t="shared" si="53"/>
        <v>10599706000</v>
      </c>
      <c r="P152" s="10" t="s">
        <v>31</v>
      </c>
      <c r="Q152" s="10" t="s">
        <v>286</v>
      </c>
      <c r="R152" s="12"/>
      <c r="S152" s="16" t="s">
        <v>481</v>
      </c>
      <c r="T152" s="10" t="str">
        <f t="shared" si="46"/>
        <v>Elite Force EF141 Taschenmesser aus 440C Stainless Steel,Accueil,Messer plus,Klappmesser,Airsoft,Elite Force</v>
      </c>
      <c r="U152" s="10" t="str">
        <f t="shared" si="47"/>
        <v>Elite Force EF141 Taschenmesser aus 440C Stainless Steel</v>
      </c>
      <c r="V152" s="10" t="str">
        <f t="shared" si="48"/>
        <v>Elite Force EF141 Taschenmesser aus 440C Stainless Steel,Accueil,Messer plus,Klappmesser,Airsoft,Elite Force</v>
      </c>
      <c r="W152" s="10">
        <v>1</v>
      </c>
      <c r="X152" s="10">
        <v>1</v>
      </c>
      <c r="Y152" s="10" t="str">
        <f t="shared" si="54"/>
        <v>http://usfh.ch/img/Messer/10599706000.jpg</v>
      </c>
      <c r="Z152" s="10">
        <f t="shared" si="50"/>
        <v>10599706000</v>
      </c>
      <c r="AA152" s="13">
        <f t="shared" si="51"/>
        <v>35</v>
      </c>
      <c r="AB152" s="13">
        <f t="shared" si="52"/>
        <v>11.45</v>
      </c>
      <c r="AC152" s="10">
        <v>0.5</v>
      </c>
    </row>
    <row r="153" spans="1:29" s="14" customFormat="1" ht="15" customHeight="1" x14ac:dyDescent="0.25">
      <c r="A153" s="10">
        <v>152</v>
      </c>
      <c r="B153" s="10"/>
      <c r="C153" s="10"/>
      <c r="D153" s="10"/>
      <c r="E153" s="10"/>
      <c r="F153" s="10">
        <v>2</v>
      </c>
      <c r="G153" s="11" t="s">
        <v>482</v>
      </c>
      <c r="H153" s="10">
        <v>1</v>
      </c>
      <c r="I153" s="10" t="s">
        <v>483</v>
      </c>
      <c r="J153" s="10" t="s">
        <v>27</v>
      </c>
      <c r="K153" s="10"/>
      <c r="L153" s="9">
        <v>35</v>
      </c>
      <c r="M153" s="10">
        <v>53</v>
      </c>
      <c r="N153" s="9">
        <v>9.5</v>
      </c>
      <c r="O153" s="10" t="str">
        <f t="shared" si="53"/>
        <v>01MB634</v>
      </c>
      <c r="P153" s="10" t="s">
        <v>40</v>
      </c>
      <c r="Q153" s="10" t="s">
        <v>41</v>
      </c>
      <c r="R153" s="12">
        <v>4045011153495</v>
      </c>
      <c r="S153" s="16" t="s">
        <v>484</v>
      </c>
      <c r="T153" s="10" t="str">
        <f t="shared" si="46"/>
        <v>Magnum Black Satin,Accueil,Messer plus,Klappmesser,Böker,Magnum</v>
      </c>
      <c r="U153" s="10" t="str">
        <f t="shared" si="47"/>
        <v>Magnum Black Satin</v>
      </c>
      <c r="V153" s="10" t="str">
        <f t="shared" si="48"/>
        <v>Magnum Black Satin,Accueil,Messer plus,Klappmesser,Böker,Magnum</v>
      </c>
      <c r="W153" s="10">
        <v>1</v>
      </c>
      <c r="X153" s="10">
        <v>1</v>
      </c>
      <c r="Y153" s="17" t="str">
        <f t="shared" si="54"/>
        <v>http://usfh.ch/img/Messer/01MB634.jpg</v>
      </c>
      <c r="Z153" s="10" t="str">
        <f t="shared" si="50"/>
        <v>01MB634</v>
      </c>
      <c r="AA153" s="13">
        <f t="shared" si="51"/>
        <v>70</v>
      </c>
      <c r="AB153" s="13">
        <f t="shared" si="52"/>
        <v>19</v>
      </c>
      <c r="AC153" s="10">
        <v>0.5</v>
      </c>
    </row>
    <row r="154" spans="1:29" s="14" customFormat="1" ht="15" customHeight="1" x14ac:dyDescent="0.25">
      <c r="A154" s="10">
        <v>153</v>
      </c>
      <c r="B154" s="10"/>
      <c r="C154" s="10"/>
      <c r="D154" s="10"/>
      <c r="E154" s="10"/>
      <c r="F154" s="10">
        <v>8</v>
      </c>
      <c r="G154" s="11" t="s">
        <v>485</v>
      </c>
      <c r="H154" s="10">
        <v>1</v>
      </c>
      <c r="I154" s="10" t="s">
        <v>486</v>
      </c>
      <c r="J154" s="10" t="s">
        <v>27</v>
      </c>
      <c r="K154" s="10"/>
      <c r="L154" s="9">
        <v>16</v>
      </c>
      <c r="M154" s="10">
        <v>53</v>
      </c>
      <c r="N154" s="9">
        <v>7.37</v>
      </c>
      <c r="O154" s="10" t="str">
        <f t="shared" si="53"/>
        <v>09BO773</v>
      </c>
      <c r="P154" s="10" t="s">
        <v>40</v>
      </c>
      <c r="Q154" s="10"/>
      <c r="R154" s="12">
        <v>4045011100642</v>
      </c>
      <c r="S154" s="16"/>
      <c r="T154" s="10" t="str">
        <f t="shared" si="46"/>
        <v>Böker Plus Black Skull Lanyard,Accueil,Messer plus,Klappmesser,Böker,</v>
      </c>
      <c r="U154" s="10" t="str">
        <f t="shared" si="47"/>
        <v>Böker Plus Black Skull Lanyard</v>
      </c>
      <c r="V154" s="10" t="str">
        <f t="shared" si="48"/>
        <v>Böker Plus Black Skull Lanyard,Accueil,Messer plus,Klappmesser,Böker,</v>
      </c>
      <c r="W154" s="10">
        <v>1</v>
      </c>
      <c r="X154" s="10">
        <v>1</v>
      </c>
      <c r="Y154" s="17" t="str">
        <f t="shared" si="54"/>
        <v>http://usfh.ch/img/Messer/09BO773.jpg</v>
      </c>
      <c r="Z154" s="10" t="str">
        <f t="shared" si="50"/>
        <v>09BO773</v>
      </c>
      <c r="AA154" s="13">
        <f t="shared" si="51"/>
        <v>128</v>
      </c>
      <c r="AB154" s="13">
        <f t="shared" si="52"/>
        <v>58.96</v>
      </c>
      <c r="AC154" s="10">
        <v>0.5</v>
      </c>
    </row>
    <row r="155" spans="1:29" s="14" customFormat="1" ht="15" customHeight="1" x14ac:dyDescent="0.25">
      <c r="A155" s="10">
        <v>154</v>
      </c>
      <c r="B155" s="10"/>
      <c r="C155" s="10"/>
      <c r="D155" s="10"/>
      <c r="E155" s="10"/>
      <c r="F155" s="10">
        <v>2</v>
      </c>
      <c r="G155" s="11" t="s">
        <v>487</v>
      </c>
      <c r="H155" s="10">
        <v>1</v>
      </c>
      <c r="I155" s="10" t="s">
        <v>488</v>
      </c>
      <c r="J155" s="10" t="s">
        <v>27</v>
      </c>
      <c r="K155" s="10"/>
      <c r="L155" s="9">
        <v>13</v>
      </c>
      <c r="M155" s="10">
        <v>53</v>
      </c>
      <c r="N155" s="9">
        <v>5.8</v>
      </c>
      <c r="O155" s="10" t="str">
        <f t="shared" si="53"/>
        <v>09ES010</v>
      </c>
      <c r="P155" s="10" t="s">
        <v>40</v>
      </c>
      <c r="Q155" s="10"/>
      <c r="R155" s="12">
        <v>4045011189210</v>
      </c>
      <c r="S155" s="16" t="s">
        <v>489</v>
      </c>
      <c r="T155" s="10" t="str">
        <f t="shared" si="46"/>
        <v>KitchenIQ Deluxe Edge Grip Diamond,Accueil,Messer plus,Klappmesser,Böker,</v>
      </c>
      <c r="U155" s="10" t="str">
        <f t="shared" si="47"/>
        <v>KitchenIQ Deluxe Edge Grip Diamond</v>
      </c>
      <c r="V155" s="10" t="str">
        <f t="shared" si="48"/>
        <v>KitchenIQ Deluxe Edge Grip Diamond,Accueil,Messer plus,Klappmesser,Böker,</v>
      </c>
      <c r="W155" s="10">
        <v>1</v>
      </c>
      <c r="X155" s="10">
        <v>1</v>
      </c>
      <c r="Y155" s="17" t="str">
        <f t="shared" si="54"/>
        <v>http://usfh.ch/img/Messer/09ES010.jpg</v>
      </c>
      <c r="Z155" s="10" t="str">
        <f t="shared" si="50"/>
        <v>09ES010</v>
      </c>
      <c r="AA155" s="13">
        <f t="shared" si="51"/>
        <v>26</v>
      </c>
      <c r="AB155" s="13">
        <f t="shared" si="52"/>
        <v>11.6</v>
      </c>
      <c r="AC155" s="10">
        <v>0.5</v>
      </c>
    </row>
    <row r="156" spans="1:29" s="14" customFormat="1" ht="15" customHeight="1" x14ac:dyDescent="0.25">
      <c r="A156" s="10">
        <v>155</v>
      </c>
      <c r="B156" s="10"/>
      <c r="C156" s="10"/>
      <c r="D156" s="10"/>
      <c r="E156" s="10"/>
      <c r="F156" s="10">
        <v>2</v>
      </c>
      <c r="G156" s="11">
        <v>83805</v>
      </c>
      <c r="H156" s="10">
        <v>1</v>
      </c>
      <c r="I156" s="10" t="s">
        <v>490</v>
      </c>
      <c r="J156" s="10" t="s">
        <v>27</v>
      </c>
      <c r="K156" s="10"/>
      <c r="L156" s="9">
        <v>35</v>
      </c>
      <c r="M156" s="10">
        <v>53</v>
      </c>
      <c r="N156" s="9">
        <v>5.7</v>
      </c>
      <c r="O156" s="10">
        <f t="shared" si="53"/>
        <v>83805</v>
      </c>
      <c r="P156" s="10" t="s">
        <v>44</v>
      </c>
      <c r="Q156" s="10" t="s">
        <v>209</v>
      </c>
      <c r="R156" s="12">
        <v>4050346838054</v>
      </c>
      <c r="S156" s="16" t="s">
        <v>491</v>
      </c>
      <c r="T156" s="10" t="str">
        <f t="shared" si="46"/>
        <v>Taschenmesser mit Karabiner,Accueil,Messer plus,Klappmesser,Haller,Blackfield</v>
      </c>
      <c r="U156" s="10" t="str">
        <f t="shared" si="47"/>
        <v>Taschenmesser mit Karabiner</v>
      </c>
      <c r="V156" s="10" t="str">
        <f t="shared" si="48"/>
        <v>Taschenmesser mit Karabiner,Accueil,Messer plus,Klappmesser,Haller,Blackfield</v>
      </c>
      <c r="W156" s="10">
        <v>1</v>
      </c>
      <c r="X156" s="10">
        <v>1</v>
      </c>
      <c r="Y156" s="17" t="str">
        <f t="shared" si="54"/>
        <v>http://usfh.ch/img/Messer/83805.jpg</v>
      </c>
      <c r="Z156" s="10">
        <f t="shared" si="50"/>
        <v>83805</v>
      </c>
      <c r="AA156" s="13">
        <f t="shared" si="51"/>
        <v>70</v>
      </c>
      <c r="AB156" s="13">
        <f t="shared" si="52"/>
        <v>11.4</v>
      </c>
      <c r="AC156" s="10">
        <v>0.5</v>
      </c>
    </row>
    <row r="157" spans="1:29" s="14" customFormat="1" ht="15" customHeight="1" x14ac:dyDescent="0.25">
      <c r="A157" s="10">
        <v>156</v>
      </c>
      <c r="B157" s="10"/>
      <c r="C157" s="10"/>
      <c r="D157" s="10"/>
      <c r="E157" s="10"/>
      <c r="F157" s="10">
        <v>5</v>
      </c>
      <c r="G157" s="11" t="s">
        <v>492</v>
      </c>
      <c r="H157" s="10">
        <v>1</v>
      </c>
      <c r="I157" s="10" t="s">
        <v>493</v>
      </c>
      <c r="J157" s="10" t="s">
        <v>27</v>
      </c>
      <c r="K157" s="10"/>
      <c r="L157" s="9">
        <v>25</v>
      </c>
      <c r="M157" s="10">
        <v>53</v>
      </c>
      <c r="N157" s="9">
        <v>11.2</v>
      </c>
      <c r="O157" s="10" t="str">
        <f t="shared" si="53"/>
        <v>H-82379.04</v>
      </c>
      <c r="P157" s="10" t="s">
        <v>494</v>
      </c>
      <c r="Q157" s="10" t="s">
        <v>495</v>
      </c>
      <c r="R157" s="12"/>
      <c r="S157" s="10" t="s">
        <v>493</v>
      </c>
      <c r="T157" s="10" t="str">
        <f t="shared" si="46"/>
        <v>3-Fach Messerschärfstation,Accueil,Messer plus,Klappmesser,MIKRA,Tactix</v>
      </c>
      <c r="U157" s="10" t="str">
        <f t="shared" si="47"/>
        <v>3-Fach Messerschärfstation</v>
      </c>
      <c r="V157" s="10" t="str">
        <f t="shared" si="48"/>
        <v>3-Fach Messerschärfstation,Accueil,Messer plus,Klappmesser,MIKRA,Tactix</v>
      </c>
      <c r="W157" s="10">
        <v>1</v>
      </c>
      <c r="X157" s="10">
        <v>1</v>
      </c>
      <c r="Y157" s="17" t="str">
        <f t="shared" si="54"/>
        <v>http://usfh.ch/img/Messer/H-82379.04.jpg</v>
      </c>
      <c r="Z157" s="10" t="str">
        <f t="shared" si="50"/>
        <v>H-82379.04</v>
      </c>
      <c r="AA157" s="13">
        <f t="shared" si="51"/>
        <v>125</v>
      </c>
      <c r="AB157" s="13">
        <f t="shared" si="52"/>
        <v>56</v>
      </c>
      <c r="AC157" s="10">
        <v>0.5</v>
      </c>
    </row>
    <row r="158" spans="1:29" s="14" customFormat="1" ht="15" customHeight="1" x14ac:dyDescent="0.25">
      <c r="A158" s="10">
        <v>157</v>
      </c>
      <c r="B158" s="10"/>
      <c r="C158" s="10"/>
      <c r="D158" s="10"/>
      <c r="E158" s="10"/>
      <c r="F158" s="10">
        <v>1</v>
      </c>
      <c r="G158" s="11" t="s">
        <v>496</v>
      </c>
      <c r="H158" s="10">
        <v>1</v>
      </c>
      <c r="I158" s="10" t="s">
        <v>497</v>
      </c>
      <c r="J158" s="10" t="s">
        <v>27</v>
      </c>
      <c r="K158" s="10"/>
      <c r="L158" s="9">
        <v>25</v>
      </c>
      <c r="M158" s="10">
        <v>53</v>
      </c>
      <c r="N158" s="9">
        <v>11.2</v>
      </c>
      <c r="O158" s="10" t="str">
        <f t="shared" ref="O158:O166" si="55">G158</f>
        <v>H-82379.01</v>
      </c>
      <c r="P158" s="10" t="s">
        <v>494</v>
      </c>
      <c r="Q158" s="10" t="s">
        <v>495</v>
      </c>
      <c r="R158" s="12"/>
      <c r="S158" s="10" t="s">
        <v>497</v>
      </c>
      <c r="T158" s="10" t="str">
        <f t="shared" ref="T158:T182" si="56">$I158 &amp; "," &amp; $J158 &amp;"," &amp; $P158 &amp;","&amp; $Q158</f>
        <v>3-Fach Outdoor Messerschärfer,Accueil,Messer plus,Klappmesser,MIKRA,Tactix</v>
      </c>
      <c r="U158" s="10" t="str">
        <f t="shared" ref="U158:U182" si="57">I158</f>
        <v>3-Fach Outdoor Messerschärfer</v>
      </c>
      <c r="V158" s="10" t="str">
        <f t="shared" ref="V158:V182" si="58">T158</f>
        <v>3-Fach Outdoor Messerschärfer,Accueil,Messer plus,Klappmesser,MIKRA,Tactix</v>
      </c>
      <c r="W158" s="10">
        <v>1</v>
      </c>
      <c r="X158" s="10">
        <v>1</v>
      </c>
      <c r="Y158" s="17" t="str">
        <f t="shared" ref="Y158:Y166" si="59" xml:space="preserve"> "http://usfh.ch/img/Messer/" &amp; G158 &amp; ".jpg"</f>
        <v>http://usfh.ch/img/Messer/H-82379.01.jpg</v>
      </c>
      <c r="Z158" s="10" t="str">
        <f t="shared" ref="Z158:Z182" si="60">G158</f>
        <v>H-82379.01</v>
      </c>
      <c r="AA158" s="13">
        <f t="shared" ref="AA158:AA182" si="61">F158*L158</f>
        <v>25</v>
      </c>
      <c r="AB158" s="13">
        <f t="shared" ref="AB158:AB182" si="62">F158*N158</f>
        <v>11.2</v>
      </c>
      <c r="AC158" s="10">
        <v>0.5</v>
      </c>
    </row>
    <row r="159" spans="1:29" s="14" customFormat="1" ht="15" customHeight="1" x14ac:dyDescent="0.25">
      <c r="A159" s="10">
        <v>158</v>
      </c>
      <c r="B159" s="10"/>
      <c r="C159" s="10"/>
      <c r="D159" s="10"/>
      <c r="E159" s="10"/>
      <c r="F159" s="10">
        <v>2</v>
      </c>
      <c r="G159" s="11" t="s">
        <v>498</v>
      </c>
      <c r="H159" s="10">
        <v>1</v>
      </c>
      <c r="I159" s="16" t="s">
        <v>499</v>
      </c>
      <c r="J159" s="10" t="s">
        <v>27</v>
      </c>
      <c r="K159" s="10"/>
      <c r="L159" s="9">
        <v>35</v>
      </c>
      <c r="M159" s="10">
        <v>53</v>
      </c>
      <c r="N159" s="9">
        <v>9</v>
      </c>
      <c r="O159" s="10" t="str">
        <f t="shared" si="55"/>
        <v>01RU055</v>
      </c>
      <c r="P159" s="10" t="s">
        <v>40</v>
      </c>
      <c r="Q159" s="10" t="s">
        <v>500</v>
      </c>
      <c r="R159" s="12">
        <v>4045011192685</v>
      </c>
      <c r="S159" s="16" t="s">
        <v>501</v>
      </c>
      <c r="T159" s="10" t="str">
        <f t="shared" si="56"/>
        <v>Taschenmesser
K25 Tactical Pocketknife 10876,Accueil,Messer plus,Klappmesser,Böker,K25</v>
      </c>
      <c r="U159" s="10" t="str">
        <f t="shared" si="57"/>
        <v>Taschenmesser
K25 Tactical Pocketknife 10876</v>
      </c>
      <c r="V159" s="10" t="str">
        <f t="shared" si="58"/>
        <v>Taschenmesser
K25 Tactical Pocketknife 10876,Accueil,Messer plus,Klappmesser,Böker,K25</v>
      </c>
      <c r="W159" s="10">
        <v>1</v>
      </c>
      <c r="X159" s="10">
        <v>1</v>
      </c>
      <c r="Y159" s="17" t="str">
        <f t="shared" si="59"/>
        <v>http://usfh.ch/img/Messer/01RU055.jpg</v>
      </c>
      <c r="Z159" s="10" t="str">
        <f t="shared" si="60"/>
        <v>01RU055</v>
      </c>
      <c r="AA159" s="13">
        <f t="shared" si="61"/>
        <v>70</v>
      </c>
      <c r="AB159" s="13">
        <f t="shared" si="62"/>
        <v>18</v>
      </c>
      <c r="AC159" s="10">
        <v>0.5</v>
      </c>
    </row>
    <row r="160" spans="1:29" s="14" customFormat="1" ht="15" customHeight="1" x14ac:dyDescent="0.25">
      <c r="A160" s="10">
        <v>159</v>
      </c>
      <c r="B160" s="10"/>
      <c r="C160" s="10"/>
      <c r="D160" s="10"/>
      <c r="E160" s="10"/>
      <c r="F160" s="10">
        <v>2</v>
      </c>
      <c r="G160" s="11" t="s">
        <v>502</v>
      </c>
      <c r="H160" s="10">
        <v>1</v>
      </c>
      <c r="I160" s="16" t="s">
        <v>503</v>
      </c>
      <c r="J160" s="10" t="s">
        <v>27</v>
      </c>
      <c r="K160" s="10"/>
      <c r="L160" s="9">
        <v>35</v>
      </c>
      <c r="M160" s="10">
        <v>53</v>
      </c>
      <c r="N160" s="9">
        <v>10</v>
      </c>
      <c r="O160" s="10" t="str">
        <f t="shared" si="55"/>
        <v>01RU057</v>
      </c>
      <c r="P160" s="10" t="s">
        <v>40</v>
      </c>
      <c r="Q160" s="10" t="s">
        <v>500</v>
      </c>
      <c r="R160" s="12">
        <v>4045011197154</v>
      </c>
      <c r="S160" s="20" t="s">
        <v>504</v>
      </c>
      <c r="T160" s="10" t="str">
        <f t="shared" si="56"/>
        <v>Taschenmesser
K25 Python Folder,Accueil,Messer plus,Klappmesser,Böker,K25</v>
      </c>
      <c r="U160" s="10" t="str">
        <f t="shared" si="57"/>
        <v>Taschenmesser
K25 Python Folder</v>
      </c>
      <c r="V160" s="10" t="str">
        <f t="shared" si="58"/>
        <v>Taschenmesser
K25 Python Folder,Accueil,Messer plus,Klappmesser,Böker,K25</v>
      </c>
      <c r="W160" s="10">
        <v>1</v>
      </c>
      <c r="X160" s="10">
        <v>1</v>
      </c>
      <c r="Y160" s="17" t="str">
        <f t="shared" si="59"/>
        <v>http://usfh.ch/img/Messer/01RU057.jpg</v>
      </c>
      <c r="Z160" s="10" t="str">
        <f t="shared" si="60"/>
        <v>01RU057</v>
      </c>
      <c r="AA160" s="13">
        <f t="shared" si="61"/>
        <v>70</v>
      </c>
      <c r="AB160" s="13">
        <f t="shared" si="62"/>
        <v>20</v>
      </c>
      <c r="AC160" s="10">
        <v>0.5</v>
      </c>
    </row>
    <row r="161" spans="1:29" s="14" customFormat="1" ht="15" customHeight="1" x14ac:dyDescent="0.25">
      <c r="A161" s="10">
        <v>160</v>
      </c>
      <c r="B161" s="10"/>
      <c r="C161" s="10"/>
      <c r="D161" s="10"/>
      <c r="E161" s="10"/>
      <c r="F161" s="10">
        <v>0</v>
      </c>
      <c r="G161" s="11" t="s">
        <v>505</v>
      </c>
      <c r="H161" s="10">
        <v>1</v>
      </c>
      <c r="I161" s="16" t="s">
        <v>506</v>
      </c>
      <c r="J161" s="10" t="s">
        <v>27</v>
      </c>
      <c r="K161" s="10"/>
      <c r="L161" s="9">
        <v>279</v>
      </c>
      <c r="M161" s="10">
        <v>53</v>
      </c>
      <c r="N161" s="9">
        <v>116</v>
      </c>
      <c r="O161" s="10" t="str">
        <f t="shared" si="55"/>
        <v>09DX005</v>
      </c>
      <c r="P161" s="10" t="s">
        <v>40</v>
      </c>
      <c r="Q161" s="10" t="s">
        <v>507</v>
      </c>
      <c r="R161" s="12">
        <v>4045011106255</v>
      </c>
      <c r="S161" s="16" t="s">
        <v>508</v>
      </c>
      <c r="T161" s="10" t="str">
        <f t="shared" si="56"/>
        <v>Work Sharp Knife &amp; Tool Sharpener Ken Onion Edition,Accueil,Messer plus,Klappmesser,Böker,Work Sharp</v>
      </c>
      <c r="U161" s="10" t="str">
        <f t="shared" si="57"/>
        <v>Work Sharp Knife &amp; Tool Sharpener Ken Onion Edition</v>
      </c>
      <c r="V161" s="10" t="str">
        <f t="shared" si="58"/>
        <v>Work Sharp Knife &amp; Tool Sharpener Ken Onion Edition,Accueil,Messer plus,Klappmesser,Böker,Work Sharp</v>
      </c>
      <c r="W161" s="10">
        <v>1</v>
      </c>
      <c r="X161" s="10">
        <v>1</v>
      </c>
      <c r="Y161" s="17" t="str">
        <f t="shared" si="59"/>
        <v>http://usfh.ch/img/Messer/09DX005.jpg</v>
      </c>
      <c r="Z161" s="10" t="str">
        <f t="shared" si="60"/>
        <v>09DX005</v>
      </c>
      <c r="AA161" s="13">
        <f t="shared" si="61"/>
        <v>0</v>
      </c>
      <c r="AB161" s="13">
        <f t="shared" si="62"/>
        <v>0</v>
      </c>
      <c r="AC161" s="10">
        <v>0.5</v>
      </c>
    </row>
    <row r="162" spans="1:29" s="14" customFormat="1" ht="15" customHeight="1" x14ac:dyDescent="0.25">
      <c r="A162" s="10">
        <v>161</v>
      </c>
      <c r="B162" s="10"/>
      <c r="C162" s="10"/>
      <c r="D162" s="10"/>
      <c r="E162" s="10"/>
      <c r="F162" s="10">
        <v>1</v>
      </c>
      <c r="G162" s="11" t="s">
        <v>730</v>
      </c>
      <c r="H162" s="10">
        <v>1</v>
      </c>
      <c r="I162" s="16" t="s">
        <v>509</v>
      </c>
      <c r="J162" s="10" t="s">
        <v>30</v>
      </c>
      <c r="K162" s="10"/>
      <c r="L162" s="9">
        <v>149</v>
      </c>
      <c r="M162" s="10">
        <v>53</v>
      </c>
      <c r="N162" s="9">
        <v>59.48</v>
      </c>
      <c r="O162" s="10" t="str">
        <f t="shared" si="55"/>
        <v>02MU147</v>
      </c>
      <c r="P162" s="10" t="s">
        <v>40</v>
      </c>
      <c r="Q162" s="10" t="s">
        <v>96</v>
      </c>
      <c r="R162" s="12">
        <v>4045011077197</v>
      </c>
      <c r="S162" s="16" t="s">
        <v>510</v>
      </c>
      <c r="T162" s="10" t="str">
        <f t="shared" si="56"/>
        <v>Muela Kodiak Combo Micarta,Accueil,Messer plus,feste Klinge,Böker,Muela</v>
      </c>
      <c r="U162" s="10" t="str">
        <f t="shared" si="57"/>
        <v>Muela Kodiak Combo Micarta</v>
      </c>
      <c r="V162" s="10" t="str">
        <f t="shared" si="58"/>
        <v>Muela Kodiak Combo Micarta,Accueil,Messer plus,feste Klinge,Böker,Muela</v>
      </c>
      <c r="W162" s="10">
        <v>1</v>
      </c>
      <c r="X162" s="10">
        <v>1</v>
      </c>
      <c r="Y162" s="17" t="str">
        <f t="shared" si="59"/>
        <v>http://usfh.ch/img/Messer/02MU147.jpg</v>
      </c>
      <c r="Z162" s="10" t="str">
        <f t="shared" si="60"/>
        <v>02MU147</v>
      </c>
      <c r="AA162" s="13">
        <f t="shared" si="61"/>
        <v>149</v>
      </c>
      <c r="AB162" s="13">
        <f t="shared" si="62"/>
        <v>59.48</v>
      </c>
      <c r="AC162" s="10">
        <v>0.5</v>
      </c>
    </row>
    <row r="163" spans="1:29" s="14" customFormat="1" ht="15" customHeight="1" x14ac:dyDescent="0.25">
      <c r="A163" s="10">
        <v>162</v>
      </c>
      <c r="B163" s="10"/>
      <c r="C163" s="10"/>
      <c r="D163" s="10"/>
      <c r="E163" s="10"/>
      <c r="F163" s="10">
        <v>3</v>
      </c>
      <c r="G163" s="11">
        <v>84004</v>
      </c>
      <c r="H163" s="10">
        <v>1</v>
      </c>
      <c r="I163" s="16" t="s">
        <v>512</v>
      </c>
      <c r="J163" s="10" t="s">
        <v>27</v>
      </c>
      <c r="K163" s="10"/>
      <c r="L163" s="9">
        <v>35</v>
      </c>
      <c r="M163" s="10">
        <v>53</v>
      </c>
      <c r="N163" s="9">
        <v>10.5</v>
      </c>
      <c r="O163" s="10">
        <f t="shared" si="55"/>
        <v>84004</v>
      </c>
      <c r="P163" s="10" t="s">
        <v>44</v>
      </c>
      <c r="Q163" s="10" t="s">
        <v>44</v>
      </c>
      <c r="R163" s="12">
        <v>4050346840040</v>
      </c>
      <c r="S163" s="16" t="s">
        <v>513</v>
      </c>
      <c r="T163" s="10" t="str">
        <f t="shared" si="56"/>
        <v>Taschenmesser Nightmare 1,Accueil,Messer plus,Klappmesser,Haller,Haller</v>
      </c>
      <c r="U163" s="10" t="str">
        <f t="shared" si="57"/>
        <v>Taschenmesser Nightmare 1</v>
      </c>
      <c r="V163" s="10" t="str">
        <f t="shared" si="58"/>
        <v>Taschenmesser Nightmare 1,Accueil,Messer plus,Klappmesser,Haller,Haller</v>
      </c>
      <c r="W163" s="10">
        <v>1</v>
      </c>
      <c r="X163" s="10">
        <v>1</v>
      </c>
      <c r="Y163" s="17" t="str">
        <f t="shared" si="59"/>
        <v>http://usfh.ch/img/Messer/84004.jpg</v>
      </c>
      <c r="Z163" s="10">
        <f t="shared" si="60"/>
        <v>84004</v>
      </c>
      <c r="AA163" s="13">
        <f t="shared" si="61"/>
        <v>105</v>
      </c>
      <c r="AB163" s="13">
        <f t="shared" si="62"/>
        <v>31.5</v>
      </c>
      <c r="AC163" s="10">
        <v>0.5</v>
      </c>
    </row>
    <row r="164" spans="1:29" s="14" customFormat="1" ht="15" customHeight="1" x14ac:dyDescent="0.25">
      <c r="A164" s="10">
        <v>163</v>
      </c>
      <c r="B164" s="10"/>
      <c r="C164" s="10"/>
      <c r="D164" s="10"/>
      <c r="E164" s="10"/>
      <c r="F164" s="10">
        <v>3</v>
      </c>
      <c r="G164" s="11">
        <v>84006</v>
      </c>
      <c r="H164" s="10">
        <v>1</v>
      </c>
      <c r="I164" s="16" t="s">
        <v>514</v>
      </c>
      <c r="J164" s="10" t="s">
        <v>27</v>
      </c>
      <c r="K164" s="10"/>
      <c r="L164" s="9">
        <v>35</v>
      </c>
      <c r="M164" s="10">
        <v>53</v>
      </c>
      <c r="N164" s="9">
        <v>10.5</v>
      </c>
      <c r="O164" s="10">
        <f t="shared" si="55"/>
        <v>84006</v>
      </c>
      <c r="P164" s="10" t="s">
        <v>44</v>
      </c>
      <c r="Q164" s="10" t="s">
        <v>44</v>
      </c>
      <c r="R164" s="12">
        <v>4050346840064</v>
      </c>
      <c r="S164" s="16" t="s">
        <v>515</v>
      </c>
      <c r="T164" s="10" t="str">
        <f t="shared" si="56"/>
        <v>Taschenmesser Nightmare 2,Accueil,Messer plus,Klappmesser,Haller,Haller</v>
      </c>
      <c r="U164" s="10" t="str">
        <f t="shared" si="57"/>
        <v>Taschenmesser Nightmare 2</v>
      </c>
      <c r="V164" s="10" t="str">
        <f t="shared" si="58"/>
        <v>Taschenmesser Nightmare 2,Accueil,Messer plus,Klappmesser,Haller,Haller</v>
      </c>
      <c r="W164" s="10">
        <v>1</v>
      </c>
      <c r="X164" s="10">
        <v>1</v>
      </c>
      <c r="Y164" s="17" t="str">
        <f t="shared" si="59"/>
        <v>http://usfh.ch/img/Messer/84006.jpg</v>
      </c>
      <c r="Z164" s="10">
        <f t="shared" si="60"/>
        <v>84006</v>
      </c>
      <c r="AA164" s="13">
        <f t="shared" si="61"/>
        <v>105</v>
      </c>
      <c r="AB164" s="13">
        <f t="shared" si="62"/>
        <v>31.5</v>
      </c>
      <c r="AC164" s="10">
        <v>0.5</v>
      </c>
    </row>
    <row r="165" spans="1:29" s="14" customFormat="1" ht="15" customHeight="1" x14ac:dyDescent="0.25">
      <c r="A165" s="10">
        <v>164</v>
      </c>
      <c r="B165" s="10"/>
      <c r="C165" s="10"/>
      <c r="D165" s="10"/>
      <c r="E165" s="10"/>
      <c r="F165" s="10">
        <v>3</v>
      </c>
      <c r="G165" s="11">
        <v>84007</v>
      </c>
      <c r="H165" s="10">
        <v>1</v>
      </c>
      <c r="I165" s="16" t="s">
        <v>516</v>
      </c>
      <c r="J165" s="10" t="s">
        <v>27</v>
      </c>
      <c r="K165" s="10"/>
      <c r="L165" s="9">
        <v>35</v>
      </c>
      <c r="M165" s="10">
        <v>53</v>
      </c>
      <c r="N165" s="9">
        <v>9.9499999999999993</v>
      </c>
      <c r="O165" s="10">
        <f t="shared" si="55"/>
        <v>84007</v>
      </c>
      <c r="P165" s="10" t="s">
        <v>44</v>
      </c>
      <c r="Q165" s="10" t="s">
        <v>44</v>
      </c>
      <c r="R165" s="12">
        <v>4050346840071</v>
      </c>
      <c r="S165" s="16" t="s">
        <v>517</v>
      </c>
      <c r="T165" s="10" t="str">
        <f t="shared" si="56"/>
        <v>Taschenmesser Nightmare 4,Accueil,Messer plus,Klappmesser,Haller,Haller</v>
      </c>
      <c r="U165" s="10" t="str">
        <f t="shared" si="57"/>
        <v>Taschenmesser Nightmare 4</v>
      </c>
      <c r="V165" s="10" t="str">
        <f t="shared" si="58"/>
        <v>Taschenmesser Nightmare 4,Accueil,Messer plus,Klappmesser,Haller,Haller</v>
      </c>
      <c r="W165" s="10">
        <v>1</v>
      </c>
      <c r="X165" s="10">
        <v>1</v>
      </c>
      <c r="Y165" s="17" t="str">
        <f t="shared" si="59"/>
        <v>http://usfh.ch/img/Messer/84007.jpg</v>
      </c>
      <c r="Z165" s="10">
        <f t="shared" si="60"/>
        <v>84007</v>
      </c>
      <c r="AA165" s="13">
        <f t="shared" si="61"/>
        <v>105</v>
      </c>
      <c r="AB165" s="13">
        <f t="shared" si="62"/>
        <v>29.849999999999998</v>
      </c>
      <c r="AC165" s="10">
        <v>0.5</v>
      </c>
    </row>
    <row r="166" spans="1:29" s="14" customFormat="1" ht="15" customHeight="1" x14ac:dyDescent="0.25">
      <c r="A166" s="10">
        <v>165</v>
      </c>
      <c r="B166" s="10"/>
      <c r="C166" s="10"/>
      <c r="D166" s="10"/>
      <c r="E166" s="10"/>
      <c r="F166" s="10">
        <v>2</v>
      </c>
      <c r="G166" s="11">
        <v>88779</v>
      </c>
      <c r="H166" s="10">
        <v>1</v>
      </c>
      <c r="I166" s="16" t="s">
        <v>518</v>
      </c>
      <c r="J166" s="10" t="s">
        <v>30</v>
      </c>
      <c r="K166" s="10"/>
      <c r="L166" s="9">
        <v>59</v>
      </c>
      <c r="M166" s="10">
        <v>53</v>
      </c>
      <c r="N166" s="9">
        <v>22</v>
      </c>
      <c r="O166" s="10">
        <f t="shared" si="55"/>
        <v>88779</v>
      </c>
      <c r="P166" s="10" t="s">
        <v>44</v>
      </c>
      <c r="Q166" s="10" t="s">
        <v>461</v>
      </c>
      <c r="R166" s="12">
        <v>4050346887793</v>
      </c>
      <c r="S166" s="16" t="s">
        <v>519</v>
      </c>
      <c r="T166" s="10" t="str">
        <f t="shared" si="56"/>
        <v>WithArmour Wurfmesser Aces 2 tlg.,Accueil,Messer plus,feste Klinge,Haller,WithArmour</v>
      </c>
      <c r="U166" s="10" t="str">
        <f t="shared" si="57"/>
        <v>WithArmour Wurfmesser Aces 2 tlg.</v>
      </c>
      <c r="V166" s="10" t="str">
        <f t="shared" si="58"/>
        <v>WithArmour Wurfmesser Aces 2 tlg.,Accueil,Messer plus,feste Klinge,Haller,WithArmour</v>
      </c>
      <c r="W166" s="10">
        <v>1</v>
      </c>
      <c r="X166" s="10">
        <v>1</v>
      </c>
      <c r="Y166" s="17" t="str">
        <f t="shared" si="59"/>
        <v>http://usfh.ch/img/Messer/88779.jpg</v>
      </c>
      <c r="Z166" s="10">
        <f t="shared" si="60"/>
        <v>88779</v>
      </c>
      <c r="AA166" s="13">
        <f t="shared" si="61"/>
        <v>118</v>
      </c>
      <c r="AB166" s="13">
        <f t="shared" si="62"/>
        <v>44</v>
      </c>
      <c r="AC166" s="10">
        <v>0.5</v>
      </c>
    </row>
    <row r="167" spans="1:29" s="14" customFormat="1" ht="15" customHeight="1" x14ac:dyDescent="0.25">
      <c r="A167" s="10">
        <v>166</v>
      </c>
      <c r="B167" s="10"/>
      <c r="C167" s="10"/>
      <c r="D167" s="10"/>
      <c r="E167" s="10"/>
      <c r="F167" s="10">
        <v>2</v>
      </c>
      <c r="G167" s="11">
        <v>11293200000</v>
      </c>
      <c r="H167" s="10">
        <v>1</v>
      </c>
      <c r="I167" s="10" t="s">
        <v>872</v>
      </c>
      <c r="J167" s="10" t="s">
        <v>523</v>
      </c>
      <c r="K167" s="10"/>
      <c r="L167" s="9">
        <v>24</v>
      </c>
      <c r="M167" s="10">
        <v>53</v>
      </c>
      <c r="N167" s="9">
        <v>7.4</v>
      </c>
      <c r="O167" s="10">
        <f t="shared" ref="O167:O182" si="63">G167</f>
        <v>11293200000</v>
      </c>
      <c r="P167" s="10" t="s">
        <v>108</v>
      </c>
      <c r="Q167" s="10" t="s">
        <v>873</v>
      </c>
      <c r="R167" s="12">
        <v>4045011100629</v>
      </c>
      <c r="S167" s="16" t="s">
        <v>874</v>
      </c>
      <c r="T167" s="10" t="str">
        <f t="shared" si="56"/>
        <v>Fire Starter ,Accueil,Outdoor plus,Verschiedenes,airsoft,kershaw</v>
      </c>
      <c r="U167" s="10" t="str">
        <f t="shared" si="57"/>
        <v xml:space="preserve">Fire Starter </v>
      </c>
      <c r="V167" s="10" t="str">
        <f t="shared" si="58"/>
        <v>Fire Starter ,Accueil,Outdoor plus,Verschiedenes,airsoft,kershaw</v>
      </c>
      <c r="W167" s="10">
        <v>1</v>
      </c>
      <c r="X167" s="10">
        <v>1</v>
      </c>
      <c r="Y167" s="10" t="str">
        <f t="shared" ref="Y167:Y175" si="64" xml:space="preserve"> "http://usfh.ch/img/Outdoor/" &amp; G167 &amp; ".jpg"</f>
        <v>http://usfh.ch/img/Outdoor/11293200000.jpg</v>
      </c>
      <c r="Z167" s="10">
        <f t="shared" si="60"/>
        <v>11293200000</v>
      </c>
      <c r="AA167" s="13">
        <f t="shared" si="61"/>
        <v>48</v>
      </c>
      <c r="AB167" s="13">
        <f t="shared" si="62"/>
        <v>14.8</v>
      </c>
      <c r="AC167" s="10">
        <v>0.5</v>
      </c>
    </row>
    <row r="168" spans="1:29" s="14" customFormat="1" ht="15" customHeight="1" x14ac:dyDescent="0.25">
      <c r="A168" s="10">
        <v>167</v>
      </c>
      <c r="B168" s="10"/>
      <c r="C168" s="10"/>
      <c r="D168" s="10"/>
      <c r="E168" s="10"/>
      <c r="F168" s="10">
        <v>5</v>
      </c>
      <c r="G168" s="11" t="s">
        <v>521</v>
      </c>
      <c r="H168" s="10">
        <v>1</v>
      </c>
      <c r="I168" s="10" t="s">
        <v>522</v>
      </c>
      <c r="J168" s="10" t="s">
        <v>523</v>
      </c>
      <c r="K168" s="10"/>
      <c r="L168" s="9">
        <v>24</v>
      </c>
      <c r="M168" s="10">
        <v>53</v>
      </c>
      <c r="N168" s="9">
        <v>7.4</v>
      </c>
      <c r="O168" s="10" t="str">
        <f t="shared" si="63"/>
        <v>09BO778</v>
      </c>
      <c r="P168" s="10" t="s">
        <v>40</v>
      </c>
      <c r="Q168" s="10" t="s">
        <v>40</v>
      </c>
      <c r="R168" s="12">
        <v>4045011100628</v>
      </c>
      <c r="S168" s="16" t="s">
        <v>524</v>
      </c>
      <c r="T168" s="10" t="str">
        <f t="shared" si="56"/>
        <v>Fire Starter,Accueil,Outdoor plus,Verschiedenes,Böker,Böker</v>
      </c>
      <c r="U168" s="10" t="str">
        <f t="shared" si="57"/>
        <v>Fire Starter</v>
      </c>
      <c r="V168" s="10" t="str">
        <f t="shared" si="58"/>
        <v>Fire Starter,Accueil,Outdoor plus,Verschiedenes,Böker,Böker</v>
      </c>
      <c r="W168" s="10">
        <v>1</v>
      </c>
      <c r="X168" s="10">
        <v>1</v>
      </c>
      <c r="Y168" s="10" t="str">
        <f t="shared" si="64"/>
        <v>http://usfh.ch/img/Outdoor/09BO778.jpg</v>
      </c>
      <c r="Z168" s="10" t="str">
        <f t="shared" si="60"/>
        <v>09BO778</v>
      </c>
      <c r="AA168" s="13">
        <f t="shared" si="61"/>
        <v>120</v>
      </c>
      <c r="AB168" s="13">
        <f t="shared" si="62"/>
        <v>37</v>
      </c>
      <c r="AC168" s="10">
        <v>0.5</v>
      </c>
    </row>
    <row r="169" spans="1:29" s="14" customFormat="1" ht="15" customHeight="1" x14ac:dyDescent="0.25">
      <c r="A169" s="10">
        <v>168</v>
      </c>
      <c r="B169" s="10"/>
      <c r="C169" s="10"/>
      <c r="D169" s="10"/>
      <c r="E169" s="10"/>
      <c r="F169" s="10">
        <v>0</v>
      </c>
      <c r="G169" s="11">
        <v>83502</v>
      </c>
      <c r="H169" s="10">
        <v>1</v>
      </c>
      <c r="I169" s="10" t="s">
        <v>525</v>
      </c>
      <c r="J169" s="10" t="s">
        <v>30</v>
      </c>
      <c r="K169" s="10"/>
      <c r="L169" s="9">
        <v>69</v>
      </c>
      <c r="M169" s="10">
        <v>53</v>
      </c>
      <c r="N169" s="9">
        <v>18.7</v>
      </c>
      <c r="O169" s="10">
        <f t="shared" si="63"/>
        <v>83502</v>
      </c>
      <c r="P169" s="10" t="s">
        <v>44</v>
      </c>
      <c r="Q169" s="10" t="s">
        <v>44</v>
      </c>
      <c r="R169" s="12">
        <v>4050346835022</v>
      </c>
      <c r="S169" s="16" t="s">
        <v>526</v>
      </c>
      <c r="T169" s="10" t="str">
        <f t="shared" si="56"/>
        <v>Ninjaschwert Lederwicklung,Accueil,Messer plus,feste Klinge,Haller,Haller</v>
      </c>
      <c r="U169" s="10" t="str">
        <f t="shared" si="57"/>
        <v>Ninjaschwert Lederwicklung</v>
      </c>
      <c r="V169" s="10" t="str">
        <f t="shared" si="58"/>
        <v>Ninjaschwert Lederwicklung,Accueil,Messer plus,feste Klinge,Haller,Haller</v>
      </c>
      <c r="W169" s="10">
        <v>1</v>
      </c>
      <c r="X169" s="10">
        <v>1</v>
      </c>
      <c r="Y169" s="10" t="str">
        <f t="shared" si="64"/>
        <v>http://usfh.ch/img/Outdoor/83502.jpg</v>
      </c>
      <c r="Z169" s="10">
        <f t="shared" si="60"/>
        <v>83502</v>
      </c>
      <c r="AA169" s="13">
        <f t="shared" si="61"/>
        <v>0</v>
      </c>
      <c r="AB169" s="13">
        <f t="shared" si="62"/>
        <v>0</v>
      </c>
      <c r="AC169" s="10">
        <v>0.5</v>
      </c>
    </row>
    <row r="170" spans="1:29" s="14" customFormat="1" ht="15" customHeight="1" x14ac:dyDescent="0.25">
      <c r="A170" s="10">
        <v>169</v>
      </c>
      <c r="B170" s="10"/>
      <c r="C170" s="10"/>
      <c r="D170" s="10"/>
      <c r="E170" s="10"/>
      <c r="F170" s="10">
        <v>1</v>
      </c>
      <c r="G170" s="11">
        <v>40984</v>
      </c>
      <c r="H170" s="10">
        <v>1</v>
      </c>
      <c r="I170" s="10" t="s">
        <v>511</v>
      </c>
      <c r="J170" s="10" t="s">
        <v>30</v>
      </c>
      <c r="K170" s="10"/>
      <c r="L170" s="9">
        <v>69</v>
      </c>
      <c r="M170" s="10">
        <v>53</v>
      </c>
      <c r="N170" s="9">
        <v>27.5</v>
      </c>
      <c r="O170" s="10">
        <f t="shared" si="63"/>
        <v>40984</v>
      </c>
      <c r="P170" s="10" t="s">
        <v>44</v>
      </c>
      <c r="Q170" s="10" t="s">
        <v>44</v>
      </c>
      <c r="R170" s="12">
        <v>4050346409841</v>
      </c>
      <c r="S170" s="16" t="s">
        <v>527</v>
      </c>
      <c r="T170" s="10" t="str">
        <f t="shared" si="56"/>
        <v>Commandoschwert,Accueil,Messer plus,feste Klinge,Haller,Haller</v>
      </c>
      <c r="U170" s="10" t="str">
        <f t="shared" si="57"/>
        <v>Commandoschwert</v>
      </c>
      <c r="V170" s="10" t="str">
        <f t="shared" si="58"/>
        <v>Commandoschwert,Accueil,Messer plus,feste Klinge,Haller,Haller</v>
      </c>
      <c r="W170" s="10">
        <v>1</v>
      </c>
      <c r="X170" s="10">
        <v>1</v>
      </c>
      <c r="Y170" s="10" t="str">
        <f t="shared" si="64"/>
        <v>http://usfh.ch/img/Outdoor/40984.jpg</v>
      </c>
      <c r="Z170" s="10">
        <f t="shared" si="60"/>
        <v>40984</v>
      </c>
      <c r="AA170" s="13">
        <f t="shared" si="61"/>
        <v>69</v>
      </c>
      <c r="AB170" s="13">
        <f t="shared" si="62"/>
        <v>27.5</v>
      </c>
      <c r="AC170" s="10">
        <v>0.5</v>
      </c>
    </row>
    <row r="171" spans="1:29" s="14" customFormat="1" ht="15" customHeight="1" x14ac:dyDescent="0.25">
      <c r="A171" s="10">
        <v>170</v>
      </c>
      <c r="B171" s="10"/>
      <c r="C171" s="10"/>
      <c r="D171" s="10"/>
      <c r="E171" s="10"/>
      <c r="F171" s="10">
        <v>1</v>
      </c>
      <c r="G171" s="11">
        <v>42844</v>
      </c>
      <c r="H171" s="10">
        <v>1</v>
      </c>
      <c r="I171" s="10" t="s">
        <v>528</v>
      </c>
      <c r="J171" s="10" t="s">
        <v>30</v>
      </c>
      <c r="K171" s="10"/>
      <c r="L171" s="9">
        <v>97</v>
      </c>
      <c r="M171" s="10">
        <v>53</v>
      </c>
      <c r="N171" s="9">
        <v>40.700000000000003</v>
      </c>
      <c r="O171" s="10">
        <f t="shared" si="63"/>
        <v>42844</v>
      </c>
      <c r="P171" s="10" t="s">
        <v>44</v>
      </c>
      <c r="Q171" s="10" t="s">
        <v>529</v>
      </c>
      <c r="R171" s="12">
        <v>28634706099</v>
      </c>
      <c r="S171" s="16" t="s">
        <v>530</v>
      </c>
      <c r="T171" s="10" t="str">
        <f t="shared" si="56"/>
        <v>Smith &amp; Wesson Tantomesser,Accueil,Messer plus,feste Klinge,Haller,Smith&amp;Wesson</v>
      </c>
      <c r="U171" s="10" t="str">
        <f t="shared" si="57"/>
        <v>Smith &amp; Wesson Tantomesser</v>
      </c>
      <c r="V171" s="10" t="str">
        <f t="shared" si="58"/>
        <v>Smith &amp; Wesson Tantomesser,Accueil,Messer plus,feste Klinge,Haller,Smith&amp;Wesson</v>
      </c>
      <c r="W171" s="10">
        <v>1</v>
      </c>
      <c r="X171" s="10">
        <v>1</v>
      </c>
      <c r="Y171" s="10" t="str">
        <f t="shared" si="64"/>
        <v>http://usfh.ch/img/Outdoor/42844.jpg</v>
      </c>
      <c r="Z171" s="10">
        <f t="shared" si="60"/>
        <v>42844</v>
      </c>
      <c r="AA171" s="13">
        <f t="shared" si="61"/>
        <v>97</v>
      </c>
      <c r="AB171" s="13">
        <f t="shared" si="62"/>
        <v>40.700000000000003</v>
      </c>
      <c r="AC171" s="10">
        <v>0.5</v>
      </c>
    </row>
    <row r="172" spans="1:29" s="14" customFormat="1" ht="15" customHeight="1" x14ac:dyDescent="0.25">
      <c r="A172" s="10">
        <v>171</v>
      </c>
      <c r="B172" s="10"/>
      <c r="C172" s="10"/>
      <c r="D172" s="10"/>
      <c r="E172" s="10"/>
      <c r="F172" s="10">
        <v>2</v>
      </c>
      <c r="G172" s="11">
        <v>70105</v>
      </c>
      <c r="H172" s="10">
        <v>1</v>
      </c>
      <c r="I172" s="10" t="s">
        <v>531</v>
      </c>
      <c r="J172" s="10" t="s">
        <v>30</v>
      </c>
      <c r="K172" s="10"/>
      <c r="L172" s="9">
        <v>88</v>
      </c>
      <c r="M172" s="10">
        <v>53</v>
      </c>
      <c r="N172" s="9">
        <v>27.5</v>
      </c>
      <c r="O172" s="10">
        <f t="shared" si="63"/>
        <v>70105</v>
      </c>
      <c r="P172" s="10" t="s">
        <v>44</v>
      </c>
      <c r="Q172" s="10" t="s">
        <v>266</v>
      </c>
      <c r="R172" s="12">
        <v>4050346701051</v>
      </c>
      <c r="S172" s="16" t="s">
        <v>532</v>
      </c>
      <c r="T172" s="10" t="str">
        <f t="shared" si="56"/>
        <v>Original Glock Feldmesser grey,Accueil,Messer plus,feste Klinge,Haller,Glock</v>
      </c>
      <c r="U172" s="10" t="str">
        <f t="shared" si="57"/>
        <v>Original Glock Feldmesser grey</v>
      </c>
      <c r="V172" s="10" t="str">
        <f t="shared" si="58"/>
        <v>Original Glock Feldmesser grey,Accueil,Messer plus,feste Klinge,Haller,Glock</v>
      </c>
      <c r="W172" s="10">
        <v>1</v>
      </c>
      <c r="X172" s="10">
        <v>1</v>
      </c>
      <c r="Y172" s="10" t="str">
        <f t="shared" si="64"/>
        <v>http://usfh.ch/img/Outdoor/70105.jpg</v>
      </c>
      <c r="Z172" s="10">
        <f t="shared" si="60"/>
        <v>70105</v>
      </c>
      <c r="AA172" s="13">
        <f t="shared" si="61"/>
        <v>176</v>
      </c>
      <c r="AB172" s="13">
        <f t="shared" si="62"/>
        <v>55</v>
      </c>
      <c r="AC172" s="10">
        <v>0.5</v>
      </c>
    </row>
    <row r="173" spans="1:29" s="14" customFormat="1" ht="15" customHeight="1" x14ac:dyDescent="0.25">
      <c r="A173" s="10">
        <v>172</v>
      </c>
      <c r="B173" s="10"/>
      <c r="C173" s="10"/>
      <c r="D173" s="10"/>
      <c r="E173" s="10"/>
      <c r="F173" s="10">
        <v>1</v>
      </c>
      <c r="G173" s="11">
        <v>88771</v>
      </c>
      <c r="H173" s="10">
        <v>1</v>
      </c>
      <c r="I173" s="10" t="s">
        <v>533</v>
      </c>
      <c r="J173" s="10" t="s">
        <v>30</v>
      </c>
      <c r="K173" s="10"/>
      <c r="L173" s="9">
        <v>69</v>
      </c>
      <c r="M173" s="10">
        <v>53</v>
      </c>
      <c r="N173" s="9">
        <v>19.8</v>
      </c>
      <c r="O173" s="10">
        <f t="shared" si="63"/>
        <v>88771</v>
      </c>
      <c r="P173" s="10" t="s">
        <v>44</v>
      </c>
      <c r="Q173" s="10" t="s">
        <v>461</v>
      </c>
      <c r="R173" s="12">
        <v>4050346887717</v>
      </c>
      <c r="S173" s="16" t="s">
        <v>534</v>
      </c>
      <c r="T173" s="10" t="str">
        <f t="shared" si="56"/>
        <v>WithArmour Ocra,Accueil,Messer plus,feste Klinge,Haller,WithArmour</v>
      </c>
      <c r="U173" s="10" t="str">
        <f t="shared" si="57"/>
        <v>WithArmour Ocra</v>
      </c>
      <c r="V173" s="10" t="str">
        <f t="shared" si="58"/>
        <v>WithArmour Ocra,Accueil,Messer plus,feste Klinge,Haller,WithArmour</v>
      </c>
      <c r="W173" s="10">
        <v>1</v>
      </c>
      <c r="X173" s="10">
        <v>1</v>
      </c>
      <c r="Y173" s="10" t="str">
        <f t="shared" si="64"/>
        <v>http://usfh.ch/img/Outdoor/88771.jpg</v>
      </c>
      <c r="Z173" s="10">
        <f t="shared" si="60"/>
        <v>88771</v>
      </c>
      <c r="AA173" s="13">
        <f t="shared" si="61"/>
        <v>69</v>
      </c>
      <c r="AB173" s="13">
        <f t="shared" si="62"/>
        <v>19.8</v>
      </c>
      <c r="AC173" s="10">
        <v>0.5</v>
      </c>
    </row>
    <row r="174" spans="1:29" s="14" customFormat="1" ht="15" customHeight="1" x14ac:dyDescent="0.25">
      <c r="A174" s="10">
        <v>173</v>
      </c>
      <c r="B174" s="10"/>
      <c r="C174" s="10"/>
      <c r="D174" s="10"/>
      <c r="E174" s="10"/>
      <c r="F174" s="10">
        <v>1</v>
      </c>
      <c r="G174" s="11" t="s">
        <v>535</v>
      </c>
      <c r="H174" s="10">
        <v>1</v>
      </c>
      <c r="I174" s="10" t="s">
        <v>536</v>
      </c>
      <c r="J174" s="10" t="s">
        <v>30</v>
      </c>
      <c r="K174" s="10"/>
      <c r="L174" s="9">
        <v>79</v>
      </c>
      <c r="M174" s="10">
        <v>53</v>
      </c>
      <c r="N174" s="9">
        <v>27.5</v>
      </c>
      <c r="O174" s="10" t="str">
        <f t="shared" si="63"/>
        <v>02RU058</v>
      </c>
      <c r="P174" s="10" t="s">
        <v>40</v>
      </c>
      <c r="Q174" s="10" t="s">
        <v>500</v>
      </c>
      <c r="R174" s="12">
        <v>4045011192661</v>
      </c>
      <c r="S174" s="16" t="s">
        <v>537</v>
      </c>
      <c r="T174" s="10" t="str">
        <f t="shared" si="56"/>
        <v>K25 Thunder II,Accueil,Messer plus,feste Klinge,Böker,K25</v>
      </c>
      <c r="U174" s="10" t="str">
        <f t="shared" si="57"/>
        <v>K25 Thunder II</v>
      </c>
      <c r="V174" s="10" t="str">
        <f t="shared" si="58"/>
        <v>K25 Thunder II,Accueil,Messer plus,feste Klinge,Böker,K25</v>
      </c>
      <c r="W174" s="10">
        <v>1</v>
      </c>
      <c r="X174" s="10">
        <v>1</v>
      </c>
      <c r="Y174" s="10" t="str">
        <f t="shared" si="64"/>
        <v>http://usfh.ch/img/Outdoor/02RU058.jpg</v>
      </c>
      <c r="Z174" s="10" t="str">
        <f t="shared" si="60"/>
        <v>02RU058</v>
      </c>
      <c r="AA174" s="13">
        <f t="shared" si="61"/>
        <v>79</v>
      </c>
      <c r="AB174" s="13">
        <f t="shared" si="62"/>
        <v>27.5</v>
      </c>
      <c r="AC174" s="10">
        <v>0.5</v>
      </c>
    </row>
    <row r="175" spans="1:29" s="14" customFormat="1" ht="15" customHeight="1" x14ac:dyDescent="0.25">
      <c r="A175" s="10">
        <v>174</v>
      </c>
      <c r="B175" s="10"/>
      <c r="C175" s="10"/>
      <c r="D175" s="10"/>
      <c r="E175" s="10"/>
      <c r="F175" s="10">
        <v>1</v>
      </c>
      <c r="G175" s="11" t="s">
        <v>538</v>
      </c>
      <c r="H175" s="10">
        <v>1</v>
      </c>
      <c r="I175" s="10" t="s">
        <v>539</v>
      </c>
      <c r="J175" s="10" t="s">
        <v>30</v>
      </c>
      <c r="K175" s="10"/>
      <c r="L175" s="9">
        <v>117</v>
      </c>
      <c r="M175" s="10">
        <v>53</v>
      </c>
      <c r="N175" s="9">
        <v>50</v>
      </c>
      <c r="O175" s="10" t="str">
        <f t="shared" si="63"/>
        <v>01BO011DAM</v>
      </c>
      <c r="P175" s="10" t="s">
        <v>40</v>
      </c>
      <c r="Q175" s="10" t="s">
        <v>40</v>
      </c>
      <c r="R175" s="12">
        <v>4045011106330</v>
      </c>
      <c r="S175" s="16" t="s">
        <v>540</v>
      </c>
      <c r="T175" s="10" t="str">
        <f t="shared" si="56"/>
        <v>Böker Sommelier Damast,Accueil,Messer plus,feste Klinge,Böker,Böker</v>
      </c>
      <c r="U175" s="10" t="str">
        <f t="shared" si="57"/>
        <v>Böker Sommelier Damast</v>
      </c>
      <c r="V175" s="10" t="str">
        <f t="shared" si="58"/>
        <v>Böker Sommelier Damast,Accueil,Messer plus,feste Klinge,Böker,Böker</v>
      </c>
      <c r="W175" s="10">
        <v>1</v>
      </c>
      <c r="X175" s="10">
        <v>1</v>
      </c>
      <c r="Y175" s="10" t="str">
        <f t="shared" si="64"/>
        <v>http://usfh.ch/img/Outdoor/01BO011DAM.jpg</v>
      </c>
      <c r="Z175" s="10" t="str">
        <f t="shared" si="60"/>
        <v>01BO011DAM</v>
      </c>
      <c r="AA175" s="13">
        <f t="shared" si="61"/>
        <v>117</v>
      </c>
      <c r="AB175" s="13">
        <f t="shared" si="62"/>
        <v>50</v>
      </c>
      <c r="AC175" s="10">
        <v>0.5</v>
      </c>
    </row>
    <row r="176" spans="1:29" s="14" customFormat="1" ht="15" customHeight="1" x14ac:dyDescent="0.25">
      <c r="A176" s="10">
        <v>175</v>
      </c>
      <c r="B176" s="10"/>
      <c r="C176" s="10"/>
      <c r="D176" s="10"/>
      <c r="E176" s="10"/>
      <c r="F176" s="10">
        <v>2</v>
      </c>
      <c r="G176" s="11" t="s">
        <v>541</v>
      </c>
      <c r="H176" s="10">
        <v>1</v>
      </c>
      <c r="I176" s="16" t="s">
        <v>542</v>
      </c>
      <c r="J176" s="10" t="s">
        <v>30</v>
      </c>
      <c r="K176" s="10"/>
      <c r="L176" s="9">
        <v>55</v>
      </c>
      <c r="M176" s="10">
        <v>53</v>
      </c>
      <c r="N176" s="9">
        <v>26</v>
      </c>
      <c r="O176" s="10" t="str">
        <f t="shared" si="63"/>
        <v>MA22FNFSF7</v>
      </c>
      <c r="P176" s="10" t="s">
        <v>159</v>
      </c>
      <c r="Q176" s="10" t="s">
        <v>447</v>
      </c>
      <c r="R176" s="12"/>
      <c r="S176" s="16" t="s">
        <v>543</v>
      </c>
      <c r="T176" s="10" t="str">
        <f t="shared" si="56"/>
        <v>MESSER MARTTIINI Filet Superflex BPFNFSF7,Accueil,Messer plus,feste Klinge,Rapala-Fishco,Marttinii</v>
      </c>
      <c r="U176" s="10" t="str">
        <f t="shared" si="57"/>
        <v>MESSER MARTTIINI Filet Superflex BPFNFSF7</v>
      </c>
      <c r="V176" s="10" t="str">
        <f t="shared" si="58"/>
        <v>MESSER MARTTIINI Filet Superflex BPFNFSF7,Accueil,Messer plus,feste Klinge,Rapala-Fishco,Marttinii</v>
      </c>
      <c r="W176" s="10">
        <v>1</v>
      </c>
      <c r="X176" s="10">
        <v>1</v>
      </c>
      <c r="Y176" s="17" t="str">
        <f t="shared" ref="Y176:Y191" si="65" xml:space="preserve"> "http://usfh.ch/img/Messer/" &amp; G176 &amp; ".jpg"</f>
        <v>http://usfh.ch/img/Messer/MA22FNFSF7.jpg</v>
      </c>
      <c r="Z176" s="10" t="str">
        <f t="shared" si="60"/>
        <v>MA22FNFSF7</v>
      </c>
      <c r="AA176" s="13">
        <f t="shared" si="61"/>
        <v>110</v>
      </c>
      <c r="AB176" s="13">
        <f t="shared" si="62"/>
        <v>52</v>
      </c>
      <c r="AC176" s="10">
        <v>0.5</v>
      </c>
    </row>
    <row r="177" spans="1:29" s="14" customFormat="1" ht="15" customHeight="1" x14ac:dyDescent="0.25">
      <c r="A177" s="10">
        <v>176</v>
      </c>
      <c r="B177" s="10"/>
      <c r="C177" s="10"/>
      <c r="D177" s="10"/>
      <c r="E177" s="10"/>
      <c r="F177" s="10">
        <v>2</v>
      </c>
      <c r="G177" s="11" t="s">
        <v>544</v>
      </c>
      <c r="H177" s="10">
        <v>1</v>
      </c>
      <c r="I177" s="16" t="s">
        <v>545</v>
      </c>
      <c r="J177" s="10" t="s">
        <v>30</v>
      </c>
      <c r="K177" s="10"/>
      <c r="L177" s="9">
        <v>55</v>
      </c>
      <c r="M177" s="10">
        <v>53</v>
      </c>
      <c r="N177" s="9">
        <v>21.9</v>
      </c>
      <c r="O177" s="10" t="str">
        <f t="shared" si="63"/>
        <v>MA22FNFSF6</v>
      </c>
      <c r="P177" s="10" t="s">
        <v>159</v>
      </c>
      <c r="Q177" s="10" t="s">
        <v>447</v>
      </c>
      <c r="R177" s="12"/>
      <c r="S177" s="16" t="s">
        <v>546</v>
      </c>
      <c r="T177" s="10" t="str">
        <f t="shared" si="56"/>
        <v>MESSER MARTTIINI Filet Superflex BPFNFSF6,Accueil,Messer plus,feste Klinge,Rapala-Fishco,Marttinii</v>
      </c>
      <c r="U177" s="10" t="str">
        <f t="shared" si="57"/>
        <v>MESSER MARTTIINI Filet Superflex BPFNFSF6</v>
      </c>
      <c r="V177" s="10" t="str">
        <f t="shared" si="58"/>
        <v>MESSER MARTTIINI Filet Superflex BPFNFSF6,Accueil,Messer plus,feste Klinge,Rapala-Fishco,Marttinii</v>
      </c>
      <c r="W177" s="10">
        <v>1</v>
      </c>
      <c r="X177" s="10">
        <v>1</v>
      </c>
      <c r="Y177" s="17" t="str">
        <f t="shared" si="65"/>
        <v>http://usfh.ch/img/Messer/MA22FNFSF6.jpg</v>
      </c>
      <c r="Z177" s="10" t="str">
        <f t="shared" si="60"/>
        <v>MA22FNFSF6</v>
      </c>
      <c r="AA177" s="13">
        <f t="shared" si="61"/>
        <v>110</v>
      </c>
      <c r="AB177" s="13">
        <f t="shared" si="62"/>
        <v>43.8</v>
      </c>
      <c r="AC177" s="10">
        <v>0.5</v>
      </c>
    </row>
    <row r="178" spans="1:29" s="14" customFormat="1" ht="15" customHeight="1" x14ac:dyDescent="0.25">
      <c r="A178" s="10">
        <v>177</v>
      </c>
      <c r="B178" s="10"/>
      <c r="C178" s="10"/>
      <c r="D178" s="10"/>
      <c r="E178" s="10"/>
      <c r="F178" s="10">
        <v>1</v>
      </c>
      <c r="G178" s="11" t="s">
        <v>547</v>
      </c>
      <c r="H178" s="10">
        <v>1</v>
      </c>
      <c r="I178" s="16" t="s">
        <v>548</v>
      </c>
      <c r="J178" s="10" t="s">
        <v>30</v>
      </c>
      <c r="K178" s="10"/>
      <c r="L178" s="9">
        <v>179</v>
      </c>
      <c r="M178" s="10">
        <v>53</v>
      </c>
      <c r="N178" s="9">
        <v>77.98</v>
      </c>
      <c r="O178" s="10" t="str">
        <f t="shared" si="63"/>
        <v>02MU156</v>
      </c>
      <c r="P178" s="10" t="s">
        <v>40</v>
      </c>
      <c r="Q178" s="10" t="s">
        <v>96</v>
      </c>
      <c r="R178" s="12">
        <v>4045011236785</v>
      </c>
      <c r="S178" s="16" t="s">
        <v>549</v>
      </c>
      <c r="T178" s="10" t="str">
        <f t="shared" si="56"/>
        <v>Muela Kodiak Combo Micarta II,Accueil,Messer plus,feste Klinge,Böker,Muela</v>
      </c>
      <c r="U178" s="10" t="str">
        <f t="shared" si="57"/>
        <v>Muela Kodiak Combo Micarta II</v>
      </c>
      <c r="V178" s="10" t="str">
        <f t="shared" si="58"/>
        <v>Muela Kodiak Combo Micarta II,Accueil,Messer plus,feste Klinge,Böker,Muela</v>
      </c>
      <c r="W178" s="10">
        <v>1</v>
      </c>
      <c r="X178" s="10">
        <v>1</v>
      </c>
      <c r="Y178" s="17" t="str">
        <f t="shared" si="65"/>
        <v>http://usfh.ch/img/Messer/02MU156.jpg</v>
      </c>
      <c r="Z178" s="10" t="str">
        <f t="shared" si="60"/>
        <v>02MU156</v>
      </c>
      <c r="AA178" s="13">
        <f t="shared" si="61"/>
        <v>179</v>
      </c>
      <c r="AB178" s="13">
        <f t="shared" si="62"/>
        <v>77.98</v>
      </c>
      <c r="AC178" s="10">
        <v>0.5</v>
      </c>
    </row>
    <row r="179" spans="1:29" s="14" customFormat="1" ht="15" customHeight="1" x14ac:dyDescent="0.25">
      <c r="A179" s="10">
        <v>178</v>
      </c>
      <c r="B179" s="10"/>
      <c r="C179" s="10"/>
      <c r="D179" s="10"/>
      <c r="E179" s="10"/>
      <c r="F179" s="10">
        <v>3</v>
      </c>
      <c r="G179" s="11" t="s">
        <v>550</v>
      </c>
      <c r="H179" s="10">
        <v>1</v>
      </c>
      <c r="I179" s="16" t="s">
        <v>551</v>
      </c>
      <c r="J179" s="10" t="s">
        <v>30</v>
      </c>
      <c r="K179" s="10"/>
      <c r="L179" s="9">
        <v>32</v>
      </c>
      <c r="M179" s="10">
        <v>53</v>
      </c>
      <c r="N179" s="9">
        <v>13.6</v>
      </c>
      <c r="O179" s="10" t="str">
        <f t="shared" si="63"/>
        <v>09BO506</v>
      </c>
      <c r="P179" s="10" t="s">
        <v>40</v>
      </c>
      <c r="Q179" s="10" t="s">
        <v>40</v>
      </c>
      <c r="R179" s="12">
        <v>4045011044267</v>
      </c>
      <c r="S179" s="16" t="s">
        <v>552</v>
      </c>
      <c r="T179" s="10" t="str">
        <f t="shared" si="56"/>
        <v>Blade-Tech Tek-Lok Klein,Accueil,Messer plus,feste Klinge,Böker,Böker</v>
      </c>
      <c r="U179" s="10" t="str">
        <f t="shared" si="57"/>
        <v>Blade-Tech Tek-Lok Klein</v>
      </c>
      <c r="V179" s="10" t="str">
        <f t="shared" si="58"/>
        <v>Blade-Tech Tek-Lok Klein,Accueil,Messer plus,feste Klinge,Böker,Böker</v>
      </c>
      <c r="W179" s="10">
        <v>1</v>
      </c>
      <c r="X179" s="10">
        <v>1</v>
      </c>
      <c r="Y179" s="17" t="str">
        <f t="shared" si="65"/>
        <v>http://usfh.ch/img/Messer/09BO506.jpg</v>
      </c>
      <c r="Z179" s="10" t="str">
        <f t="shared" si="60"/>
        <v>09BO506</v>
      </c>
      <c r="AA179" s="13">
        <f t="shared" si="61"/>
        <v>96</v>
      </c>
      <c r="AB179" s="13">
        <f t="shared" si="62"/>
        <v>40.799999999999997</v>
      </c>
      <c r="AC179" s="10">
        <v>0.5</v>
      </c>
    </row>
    <row r="180" spans="1:29" s="14" customFormat="1" ht="15" customHeight="1" x14ac:dyDescent="0.25">
      <c r="A180" s="10">
        <v>179</v>
      </c>
      <c r="B180" s="10"/>
      <c r="C180" s="10"/>
      <c r="D180" s="10"/>
      <c r="E180" s="10"/>
      <c r="F180" s="10">
        <v>1</v>
      </c>
      <c r="G180" s="11" t="s">
        <v>554</v>
      </c>
      <c r="H180" s="10">
        <v>1</v>
      </c>
      <c r="I180" s="16" t="s">
        <v>555</v>
      </c>
      <c r="J180" s="10" t="s">
        <v>30</v>
      </c>
      <c r="K180" s="10"/>
      <c r="L180" s="9">
        <v>109</v>
      </c>
      <c r="M180" s="10">
        <v>53</v>
      </c>
      <c r="N180" s="9">
        <v>50.98</v>
      </c>
      <c r="O180" s="10" t="str">
        <f t="shared" si="63"/>
        <v>02UC2629</v>
      </c>
      <c r="P180" s="10" t="s">
        <v>40</v>
      </c>
      <c r="Q180" s="10" t="s">
        <v>555</v>
      </c>
      <c r="R180" s="12">
        <v>4045011072857</v>
      </c>
      <c r="S180" s="16" t="s">
        <v>556</v>
      </c>
      <c r="T180" s="10" t="str">
        <f t="shared" si="56"/>
        <v>United Cutlery Honshu Tanto I,Accueil,Messer plus,feste Klinge,Böker,United Cutlery Honshu Tanto I</v>
      </c>
      <c r="U180" s="10" t="str">
        <f t="shared" si="57"/>
        <v>United Cutlery Honshu Tanto I</v>
      </c>
      <c r="V180" s="10" t="str">
        <f t="shared" si="58"/>
        <v>United Cutlery Honshu Tanto I,Accueil,Messer plus,feste Klinge,Böker,United Cutlery Honshu Tanto I</v>
      </c>
      <c r="W180" s="10">
        <v>1</v>
      </c>
      <c r="X180" s="10">
        <v>1</v>
      </c>
      <c r="Y180" s="17" t="str">
        <f t="shared" si="65"/>
        <v>http://usfh.ch/img/Messer/02UC2629.jpg</v>
      </c>
      <c r="Z180" s="10" t="str">
        <f t="shared" si="60"/>
        <v>02UC2629</v>
      </c>
      <c r="AA180" s="13">
        <f t="shared" si="61"/>
        <v>109</v>
      </c>
      <c r="AB180" s="13">
        <f t="shared" si="62"/>
        <v>50.98</v>
      </c>
      <c r="AC180" s="10">
        <v>0.5</v>
      </c>
    </row>
    <row r="181" spans="1:29" s="14" customFormat="1" ht="15" customHeight="1" x14ac:dyDescent="0.25">
      <c r="A181" s="10">
        <v>180</v>
      </c>
      <c r="B181" s="10"/>
      <c r="C181" s="10"/>
      <c r="D181" s="10"/>
      <c r="E181" s="10"/>
      <c r="F181" s="10">
        <v>3</v>
      </c>
      <c r="G181" s="11" t="s">
        <v>557</v>
      </c>
      <c r="H181" s="10">
        <v>1</v>
      </c>
      <c r="I181" s="16" t="s">
        <v>558</v>
      </c>
      <c r="J181" s="10" t="s">
        <v>27</v>
      </c>
      <c r="K181" s="10"/>
      <c r="L181" s="9">
        <v>49</v>
      </c>
      <c r="M181" s="10">
        <v>53</v>
      </c>
      <c r="N181" s="9">
        <v>7.5</v>
      </c>
      <c r="O181" s="10" t="str">
        <f t="shared" si="63"/>
        <v>01MB857</v>
      </c>
      <c r="P181" s="10" t="s">
        <v>40</v>
      </c>
      <c r="Q181" s="10" t="s">
        <v>41</v>
      </c>
      <c r="R181" s="12">
        <v>4045011154829</v>
      </c>
      <c r="S181" s="16" t="s">
        <v>559</v>
      </c>
      <c r="T181" s="10" t="str">
        <f t="shared" si="56"/>
        <v>Magnum Special Forces 42,Accueil,Messer plus,Klappmesser,Böker,Magnum</v>
      </c>
      <c r="U181" s="10" t="str">
        <f t="shared" si="57"/>
        <v>Magnum Special Forces 42</v>
      </c>
      <c r="V181" s="10" t="str">
        <f t="shared" si="58"/>
        <v>Magnum Special Forces 42,Accueil,Messer plus,Klappmesser,Böker,Magnum</v>
      </c>
      <c r="W181" s="10">
        <v>1</v>
      </c>
      <c r="X181" s="10">
        <v>1</v>
      </c>
      <c r="Y181" s="17" t="str">
        <f t="shared" si="65"/>
        <v>http://usfh.ch/img/Messer/01MB857.jpg</v>
      </c>
      <c r="Z181" s="10" t="str">
        <f t="shared" si="60"/>
        <v>01MB857</v>
      </c>
      <c r="AA181" s="13">
        <f t="shared" si="61"/>
        <v>147</v>
      </c>
      <c r="AB181" s="13">
        <f t="shared" si="62"/>
        <v>22.5</v>
      </c>
      <c r="AC181" s="10">
        <v>0.5</v>
      </c>
    </row>
    <row r="182" spans="1:29" s="14" customFormat="1" ht="15" customHeight="1" x14ac:dyDescent="0.25">
      <c r="A182" s="10">
        <v>181</v>
      </c>
      <c r="B182" s="10"/>
      <c r="C182" s="10"/>
      <c r="D182" s="10"/>
      <c r="E182" s="10"/>
      <c r="F182" s="10">
        <v>3</v>
      </c>
      <c r="G182" s="11" t="s">
        <v>560</v>
      </c>
      <c r="H182" s="10">
        <v>1</v>
      </c>
      <c r="I182" s="16" t="s">
        <v>561</v>
      </c>
      <c r="J182" s="10" t="s">
        <v>27</v>
      </c>
      <c r="K182" s="10"/>
      <c r="L182" s="9">
        <v>7</v>
      </c>
      <c r="M182" s="10">
        <v>53</v>
      </c>
      <c r="N182" s="9">
        <v>2.75</v>
      </c>
      <c r="O182" s="10" t="str">
        <f t="shared" si="63"/>
        <v>03BO011</v>
      </c>
      <c r="P182" s="10" t="s">
        <v>40</v>
      </c>
      <c r="Q182" s="10" t="s">
        <v>40</v>
      </c>
      <c r="R182" s="12">
        <v>4045011194603</v>
      </c>
      <c r="S182" s="16" t="s">
        <v>562</v>
      </c>
      <c r="T182" s="10" t="str">
        <f t="shared" si="56"/>
        <v>Böker Steakmesser 2er Set,Accueil,Messer plus,Klappmesser,Böker,Böker</v>
      </c>
      <c r="U182" s="10" t="str">
        <f t="shared" si="57"/>
        <v>Böker Steakmesser 2er Set</v>
      </c>
      <c r="V182" s="10" t="str">
        <f t="shared" si="58"/>
        <v>Böker Steakmesser 2er Set,Accueil,Messer plus,Klappmesser,Böker,Böker</v>
      </c>
      <c r="W182" s="10">
        <v>1</v>
      </c>
      <c r="X182" s="10">
        <v>1</v>
      </c>
      <c r="Y182" s="17" t="str">
        <f t="shared" si="65"/>
        <v>http://usfh.ch/img/Messer/03BO011.jpg</v>
      </c>
      <c r="Z182" s="10" t="str">
        <f t="shared" si="60"/>
        <v>03BO011</v>
      </c>
      <c r="AA182" s="13">
        <f t="shared" si="61"/>
        <v>21</v>
      </c>
      <c r="AB182" s="13">
        <f t="shared" si="62"/>
        <v>8.25</v>
      </c>
      <c r="AC182" s="10">
        <v>0.5</v>
      </c>
    </row>
    <row r="183" spans="1:29" s="14" customFormat="1" ht="15" customHeight="1" x14ac:dyDescent="0.25">
      <c r="A183" s="10">
        <v>182</v>
      </c>
      <c r="B183" s="10"/>
      <c r="C183" s="10"/>
      <c r="D183" s="10"/>
      <c r="E183" s="10"/>
      <c r="F183" s="10">
        <v>4</v>
      </c>
      <c r="G183" s="11" t="s">
        <v>563</v>
      </c>
      <c r="H183" s="10">
        <v>1</v>
      </c>
      <c r="I183" s="16" t="s">
        <v>564</v>
      </c>
      <c r="J183" s="10" t="s">
        <v>27</v>
      </c>
      <c r="K183" s="10"/>
      <c r="L183" s="9">
        <v>29</v>
      </c>
      <c r="M183" s="10">
        <v>53</v>
      </c>
      <c r="N183" s="9">
        <v>14.76</v>
      </c>
      <c r="O183" s="10" t="str">
        <f t="shared" ref="O183:O208" si="66">G183</f>
        <v>09bo505</v>
      </c>
      <c r="P183" s="10" t="s">
        <v>40</v>
      </c>
      <c r="Q183" s="10" t="s">
        <v>40</v>
      </c>
      <c r="R183" s="12">
        <v>4045011016622</v>
      </c>
      <c r="S183" s="16" t="s">
        <v>565</v>
      </c>
      <c r="T183" s="10" t="str">
        <f t="shared" ref="T183:T237" si="67">$I183 &amp; "," &amp; $J183 &amp;"," &amp; $P183 &amp;","&amp; $Q183</f>
        <v>Blade-Tech Tek-Lok Groß,Accueil,Messer plus,Klappmesser,Böker,Böker</v>
      </c>
      <c r="U183" s="10" t="str">
        <f t="shared" ref="U183:U237" si="68">I183</f>
        <v>Blade-Tech Tek-Lok Groß</v>
      </c>
      <c r="V183" s="10" t="str">
        <f t="shared" ref="V183:V237" si="69">T183</f>
        <v>Blade-Tech Tek-Lok Groß,Accueil,Messer plus,Klappmesser,Böker,Böker</v>
      </c>
      <c r="W183" s="10">
        <v>1</v>
      </c>
      <c r="X183" s="10">
        <v>1</v>
      </c>
      <c r="Y183" s="17" t="str">
        <f t="shared" si="65"/>
        <v>http://usfh.ch/img/Messer/09bo505.jpg</v>
      </c>
      <c r="Z183" s="10" t="str">
        <f t="shared" ref="Z183:Z237" si="70">G183</f>
        <v>09bo505</v>
      </c>
      <c r="AA183" s="13">
        <f t="shared" ref="AA183:AA237" si="71">F183*L183</f>
        <v>116</v>
      </c>
      <c r="AB183" s="13">
        <f t="shared" ref="AB183:AB237" si="72">F183*N183</f>
        <v>59.04</v>
      </c>
      <c r="AC183" s="10">
        <v>0.5</v>
      </c>
    </row>
    <row r="184" spans="1:29" s="14" customFormat="1" ht="15" customHeight="1" x14ac:dyDescent="0.25">
      <c r="A184" s="10">
        <v>183</v>
      </c>
      <c r="B184" s="10"/>
      <c r="C184" s="10"/>
      <c r="D184" s="10"/>
      <c r="E184" s="10"/>
      <c r="F184" s="10">
        <v>2</v>
      </c>
      <c r="G184" s="11" t="s">
        <v>566</v>
      </c>
      <c r="H184" s="10">
        <v>1</v>
      </c>
      <c r="I184" s="16" t="s">
        <v>567</v>
      </c>
      <c r="J184" s="10" t="s">
        <v>30</v>
      </c>
      <c r="K184" s="10"/>
      <c r="L184" s="9">
        <v>55</v>
      </c>
      <c r="M184" s="10">
        <v>53</v>
      </c>
      <c r="N184" s="9">
        <v>22.5</v>
      </c>
      <c r="O184" s="10" t="str">
        <f t="shared" si="66"/>
        <v>02GL683</v>
      </c>
      <c r="P184" s="10" t="s">
        <v>40</v>
      </c>
      <c r="Q184" s="10" t="s">
        <v>41</v>
      </c>
      <c r="R184" s="12">
        <v>4045011042027</v>
      </c>
      <c r="S184" s="16" t="s">
        <v>568</v>
      </c>
      <c r="T184" s="10" t="str">
        <f t="shared" si="67"/>
        <v>Magnum Elk Hunter,Accueil,Messer plus,feste Klinge,Böker,Magnum</v>
      </c>
      <c r="U184" s="10" t="str">
        <f t="shared" si="68"/>
        <v>Magnum Elk Hunter</v>
      </c>
      <c r="V184" s="10" t="str">
        <f t="shared" si="69"/>
        <v>Magnum Elk Hunter,Accueil,Messer plus,feste Klinge,Böker,Magnum</v>
      </c>
      <c r="W184" s="10">
        <v>1</v>
      </c>
      <c r="X184" s="10">
        <v>1</v>
      </c>
      <c r="Y184" s="17" t="str">
        <f t="shared" si="65"/>
        <v>http://usfh.ch/img/Messer/02GL683.jpg</v>
      </c>
      <c r="Z184" s="10" t="str">
        <f t="shared" si="70"/>
        <v>02GL683</v>
      </c>
      <c r="AA184" s="13">
        <f t="shared" si="71"/>
        <v>110</v>
      </c>
      <c r="AB184" s="13">
        <f t="shared" si="72"/>
        <v>45</v>
      </c>
      <c r="AC184" s="10">
        <v>0.5</v>
      </c>
    </row>
    <row r="185" spans="1:29" s="14" customFormat="1" ht="15" customHeight="1" x14ac:dyDescent="0.25">
      <c r="A185" s="10">
        <v>184</v>
      </c>
      <c r="B185" s="10"/>
      <c r="C185" s="10"/>
      <c r="D185" s="10"/>
      <c r="E185" s="10"/>
      <c r="F185" s="10">
        <v>2</v>
      </c>
      <c r="G185" s="11">
        <v>5004</v>
      </c>
      <c r="H185" s="10">
        <v>1</v>
      </c>
      <c r="I185" s="16" t="s">
        <v>569</v>
      </c>
      <c r="J185" s="10" t="s">
        <v>30</v>
      </c>
      <c r="K185" s="10"/>
      <c r="L185" s="9">
        <v>323</v>
      </c>
      <c r="M185" s="10">
        <v>53</v>
      </c>
      <c r="N185" s="9"/>
      <c r="O185" s="10">
        <f t="shared" si="66"/>
        <v>5004</v>
      </c>
      <c r="P185" s="10" t="s">
        <v>321</v>
      </c>
      <c r="Q185" s="10" t="s">
        <v>321</v>
      </c>
      <c r="R185" s="12"/>
      <c r="S185" s="16" t="s">
        <v>570</v>
      </c>
      <c r="T185" s="10" t="str">
        <f t="shared" si="67"/>
        <v>TACTICAL EIGHT SW,Accueil,Messer plus,feste Klinge,PohlForce,PohlForce</v>
      </c>
      <c r="U185" s="10" t="str">
        <f t="shared" si="68"/>
        <v>TACTICAL EIGHT SW</v>
      </c>
      <c r="V185" s="10" t="str">
        <f t="shared" si="69"/>
        <v>TACTICAL EIGHT SW,Accueil,Messer plus,feste Klinge,PohlForce,PohlForce</v>
      </c>
      <c r="W185" s="10">
        <v>1</v>
      </c>
      <c r="X185" s="10">
        <v>1</v>
      </c>
      <c r="Y185" s="17" t="str">
        <f t="shared" si="65"/>
        <v>http://usfh.ch/img/Messer/5004.jpg</v>
      </c>
      <c r="Z185" s="10">
        <f t="shared" si="70"/>
        <v>5004</v>
      </c>
      <c r="AA185" s="13">
        <f t="shared" si="71"/>
        <v>646</v>
      </c>
      <c r="AB185" s="13">
        <f t="shared" si="72"/>
        <v>0</v>
      </c>
      <c r="AC185" s="10">
        <v>0.5</v>
      </c>
    </row>
    <row r="186" spans="1:29" s="14" customFormat="1" ht="15" customHeight="1" x14ac:dyDescent="0.25">
      <c r="A186" s="10">
        <v>185</v>
      </c>
      <c r="B186" s="10"/>
      <c r="C186" s="10"/>
      <c r="D186" s="10"/>
      <c r="E186" s="10"/>
      <c r="F186" s="10">
        <v>2</v>
      </c>
      <c r="G186" s="11">
        <v>5014</v>
      </c>
      <c r="H186" s="10">
        <v>1</v>
      </c>
      <c r="I186" s="16" t="s">
        <v>571</v>
      </c>
      <c r="J186" s="10" t="s">
        <v>30</v>
      </c>
      <c r="K186" s="10"/>
      <c r="L186" s="9">
        <v>336</v>
      </c>
      <c r="M186" s="10">
        <v>53</v>
      </c>
      <c r="N186" s="9"/>
      <c r="O186" s="10">
        <f t="shared" si="66"/>
        <v>5014</v>
      </c>
      <c r="P186" s="10" t="s">
        <v>321</v>
      </c>
      <c r="Q186" s="10" t="s">
        <v>321</v>
      </c>
      <c r="R186" s="12"/>
      <c r="S186" s="16" t="s">
        <v>572</v>
      </c>
      <c r="T186" s="10" t="str">
        <f t="shared" si="67"/>
        <v>TACTICAL EIGHT BK,Accueil,Messer plus,feste Klinge,PohlForce,PohlForce</v>
      </c>
      <c r="U186" s="10" t="str">
        <f t="shared" si="68"/>
        <v>TACTICAL EIGHT BK</v>
      </c>
      <c r="V186" s="10" t="str">
        <f t="shared" si="69"/>
        <v>TACTICAL EIGHT BK,Accueil,Messer plus,feste Klinge,PohlForce,PohlForce</v>
      </c>
      <c r="W186" s="10">
        <v>1</v>
      </c>
      <c r="X186" s="10">
        <v>1</v>
      </c>
      <c r="Y186" s="17" t="str">
        <f t="shared" si="65"/>
        <v>http://usfh.ch/img/Messer/5014.jpg</v>
      </c>
      <c r="Z186" s="10">
        <f t="shared" si="70"/>
        <v>5014</v>
      </c>
      <c r="AA186" s="13">
        <f t="shared" si="71"/>
        <v>672</v>
      </c>
      <c r="AB186" s="13">
        <f t="shared" si="72"/>
        <v>0</v>
      </c>
      <c r="AC186" s="10">
        <v>0.5</v>
      </c>
    </row>
    <row r="187" spans="1:29" s="14" customFormat="1" ht="15" customHeight="1" x14ac:dyDescent="0.25">
      <c r="A187" s="10">
        <v>186</v>
      </c>
      <c r="B187" s="10"/>
      <c r="C187" s="10"/>
      <c r="D187" s="10"/>
      <c r="E187" s="10"/>
      <c r="F187" s="10">
        <v>1</v>
      </c>
      <c r="G187" s="11">
        <v>5015</v>
      </c>
      <c r="H187" s="10">
        <v>1</v>
      </c>
      <c r="I187" s="16" t="s">
        <v>573</v>
      </c>
      <c r="J187" s="10" t="s">
        <v>30</v>
      </c>
      <c r="K187" s="10"/>
      <c r="L187" s="9">
        <v>362</v>
      </c>
      <c r="M187" s="10">
        <v>53</v>
      </c>
      <c r="N187" s="9"/>
      <c r="O187" s="10">
        <f t="shared" si="66"/>
        <v>5015</v>
      </c>
      <c r="P187" s="10" t="s">
        <v>321</v>
      </c>
      <c r="Q187" s="10" t="s">
        <v>321</v>
      </c>
      <c r="R187" s="12"/>
      <c r="S187" s="16" t="s">
        <v>574</v>
      </c>
      <c r="T187" s="10" t="str">
        <f t="shared" si="67"/>
        <v>TACTICAL NINE BK,Accueil,Messer plus,feste Klinge,PohlForce,PohlForce</v>
      </c>
      <c r="U187" s="10" t="str">
        <f t="shared" si="68"/>
        <v>TACTICAL NINE BK</v>
      </c>
      <c r="V187" s="10" t="str">
        <f t="shared" si="69"/>
        <v>TACTICAL NINE BK,Accueil,Messer plus,feste Klinge,PohlForce,PohlForce</v>
      </c>
      <c r="W187" s="10">
        <v>1</v>
      </c>
      <c r="X187" s="10">
        <v>1</v>
      </c>
      <c r="Y187" s="17" t="str">
        <f t="shared" si="65"/>
        <v>http://usfh.ch/img/Messer/5015.jpg</v>
      </c>
      <c r="Z187" s="10">
        <f t="shared" si="70"/>
        <v>5015</v>
      </c>
      <c r="AA187" s="13">
        <f t="shared" si="71"/>
        <v>362</v>
      </c>
      <c r="AB187" s="13">
        <f t="shared" si="72"/>
        <v>0</v>
      </c>
      <c r="AC187" s="10">
        <v>0.5</v>
      </c>
    </row>
    <row r="188" spans="1:29" s="14" customFormat="1" ht="15" customHeight="1" x14ac:dyDescent="0.25">
      <c r="A188" s="10">
        <v>187</v>
      </c>
      <c r="B188" s="10"/>
      <c r="C188" s="10"/>
      <c r="D188" s="10"/>
      <c r="E188" s="10"/>
      <c r="F188" s="10">
        <v>1</v>
      </c>
      <c r="G188" s="11" t="s">
        <v>575</v>
      </c>
      <c r="H188" s="10">
        <v>1</v>
      </c>
      <c r="I188" s="16" t="s">
        <v>576</v>
      </c>
      <c r="J188" s="10" t="s">
        <v>30</v>
      </c>
      <c r="K188" s="10"/>
      <c r="L188" s="9">
        <v>189</v>
      </c>
      <c r="M188" s="10">
        <v>53</v>
      </c>
      <c r="N188" s="9">
        <v>74.98</v>
      </c>
      <c r="O188" s="10" t="str">
        <f t="shared" si="66"/>
        <v>02LS043</v>
      </c>
      <c r="P188" s="10" t="s">
        <v>40</v>
      </c>
      <c r="Q188" s="10" t="s">
        <v>577</v>
      </c>
      <c r="R188" s="12">
        <v>4045011214615</v>
      </c>
      <c r="S188" s="16" t="s">
        <v>578</v>
      </c>
      <c r="T188" s="10" t="str">
        <f t="shared" si="67"/>
        <v>LionSteel B35 black,Accueil,Messer plus,feste Klinge,Böker,Lion steel</v>
      </c>
      <c r="U188" s="10" t="str">
        <f t="shared" si="68"/>
        <v>LionSteel B35 black</v>
      </c>
      <c r="V188" s="10" t="str">
        <f t="shared" si="69"/>
        <v>LionSteel B35 black,Accueil,Messer plus,feste Klinge,Böker,Lion steel</v>
      </c>
      <c r="W188" s="10">
        <v>1</v>
      </c>
      <c r="X188" s="10">
        <v>1</v>
      </c>
      <c r="Y188" s="17" t="str">
        <f t="shared" si="65"/>
        <v>http://usfh.ch/img/Messer/02LS043.jpg</v>
      </c>
      <c r="Z188" s="10" t="str">
        <f t="shared" si="70"/>
        <v>02LS043</v>
      </c>
      <c r="AA188" s="13">
        <f t="shared" si="71"/>
        <v>189</v>
      </c>
      <c r="AB188" s="13">
        <f t="shared" si="72"/>
        <v>74.98</v>
      </c>
      <c r="AC188" s="10">
        <v>0.5</v>
      </c>
    </row>
    <row r="189" spans="1:29" s="14" customFormat="1" ht="15" customHeight="1" x14ac:dyDescent="0.25">
      <c r="A189" s="10">
        <v>188</v>
      </c>
      <c r="B189" s="10"/>
      <c r="C189" s="10"/>
      <c r="D189" s="10"/>
      <c r="E189" s="10"/>
      <c r="F189" s="10">
        <v>4</v>
      </c>
      <c r="G189" s="11" t="s">
        <v>579</v>
      </c>
      <c r="H189" s="10">
        <v>1</v>
      </c>
      <c r="I189" s="16" t="s">
        <v>580</v>
      </c>
      <c r="J189" s="10" t="s">
        <v>27</v>
      </c>
      <c r="K189" s="10"/>
      <c r="L189" s="9">
        <v>59</v>
      </c>
      <c r="M189" s="10">
        <v>53</v>
      </c>
      <c r="N189" s="9">
        <v>22</v>
      </c>
      <c r="O189" s="10" t="str">
        <f t="shared" si="66"/>
        <v>01BO569</v>
      </c>
      <c r="P189" s="10" t="s">
        <v>40</v>
      </c>
      <c r="Q189" s="10" t="s">
        <v>40</v>
      </c>
      <c r="R189" s="12">
        <v>4045011134678</v>
      </c>
      <c r="S189" s="16" t="s">
        <v>581</v>
      </c>
      <c r="T189" s="10" t="str">
        <f t="shared" si="67"/>
        <v>Böker Plus Worldwide,Accueil,Messer plus,Klappmesser,Böker,Böker</v>
      </c>
      <c r="U189" s="10" t="str">
        <f t="shared" si="68"/>
        <v>Böker Plus Worldwide</v>
      </c>
      <c r="V189" s="10" t="str">
        <f t="shared" si="69"/>
        <v>Böker Plus Worldwide,Accueil,Messer plus,Klappmesser,Böker,Böker</v>
      </c>
      <c r="W189" s="10">
        <v>1</v>
      </c>
      <c r="X189" s="10">
        <v>1</v>
      </c>
      <c r="Y189" s="17" t="str">
        <f t="shared" si="65"/>
        <v>http://usfh.ch/img/Messer/01BO569.jpg</v>
      </c>
      <c r="Z189" s="10" t="str">
        <f t="shared" si="70"/>
        <v>01BO569</v>
      </c>
      <c r="AA189" s="13">
        <f t="shared" si="71"/>
        <v>236</v>
      </c>
      <c r="AB189" s="13">
        <f t="shared" si="72"/>
        <v>88</v>
      </c>
      <c r="AC189" s="10">
        <v>0.5</v>
      </c>
    </row>
    <row r="190" spans="1:29" s="14" customFormat="1" ht="15" customHeight="1" x14ac:dyDescent="0.25">
      <c r="A190" s="10">
        <v>189</v>
      </c>
      <c r="B190" s="10"/>
      <c r="C190" s="10"/>
      <c r="D190" s="10"/>
      <c r="E190" s="10"/>
      <c r="F190" s="10">
        <v>1</v>
      </c>
      <c r="G190" s="11" t="s">
        <v>582</v>
      </c>
      <c r="H190" s="10">
        <v>1</v>
      </c>
      <c r="I190" s="16" t="s">
        <v>583</v>
      </c>
      <c r="J190" s="10" t="s">
        <v>27</v>
      </c>
      <c r="K190" s="10"/>
      <c r="L190" s="9">
        <v>52</v>
      </c>
      <c r="M190" s="10">
        <v>53</v>
      </c>
      <c r="N190" s="9">
        <v>15.9</v>
      </c>
      <c r="O190" s="10" t="str">
        <f t="shared" si="66"/>
        <v>01BO574</v>
      </c>
      <c r="P190" s="10" t="s">
        <v>40</v>
      </c>
      <c r="Q190" s="10" t="s">
        <v>40</v>
      </c>
      <c r="R190" s="12">
        <v>4045011131233</v>
      </c>
      <c r="S190" s="16" t="s">
        <v>584</v>
      </c>
      <c r="T190" s="10" t="str">
        <f t="shared" si="67"/>
        <v>Böker Plus DW-2,Accueil,Messer plus,Klappmesser,Böker,Böker</v>
      </c>
      <c r="U190" s="10" t="str">
        <f t="shared" si="68"/>
        <v>Böker Plus DW-2</v>
      </c>
      <c r="V190" s="10" t="str">
        <f t="shared" si="69"/>
        <v>Böker Plus DW-2,Accueil,Messer plus,Klappmesser,Böker,Böker</v>
      </c>
      <c r="W190" s="10">
        <v>1</v>
      </c>
      <c r="X190" s="10">
        <v>1</v>
      </c>
      <c r="Y190" s="17" t="str">
        <f t="shared" si="65"/>
        <v>http://usfh.ch/img/Messer/01BO574.jpg</v>
      </c>
      <c r="Z190" s="10" t="str">
        <f t="shared" si="70"/>
        <v>01BO574</v>
      </c>
      <c r="AA190" s="13">
        <f t="shared" si="71"/>
        <v>52</v>
      </c>
      <c r="AB190" s="13">
        <f t="shared" si="72"/>
        <v>15.9</v>
      </c>
      <c r="AC190" s="10">
        <v>0.5</v>
      </c>
    </row>
    <row r="191" spans="1:29" s="14" customFormat="1" ht="15" customHeight="1" x14ac:dyDescent="0.25">
      <c r="A191" s="10">
        <v>190</v>
      </c>
      <c r="B191" s="10"/>
      <c r="C191" s="10"/>
      <c r="D191" s="10"/>
      <c r="E191" s="10"/>
      <c r="F191" s="10">
        <v>1</v>
      </c>
      <c r="G191" s="11" t="s">
        <v>585</v>
      </c>
      <c r="H191" s="10">
        <v>1</v>
      </c>
      <c r="I191" s="16" t="s">
        <v>586</v>
      </c>
      <c r="J191" s="10" t="s">
        <v>27</v>
      </c>
      <c r="K191" s="10"/>
      <c r="L191" s="9">
        <v>36</v>
      </c>
      <c r="M191" s="10">
        <v>53</v>
      </c>
      <c r="N191" s="9">
        <v>15.4</v>
      </c>
      <c r="O191" s="10" t="str">
        <f t="shared" si="66"/>
        <v>01OE095</v>
      </c>
      <c r="P191" s="10" t="s">
        <v>40</v>
      </c>
      <c r="Q191" s="10" t="s">
        <v>217</v>
      </c>
      <c r="R191" s="12">
        <v>4045011196867</v>
      </c>
      <c r="S191" s="16" t="s">
        <v>587</v>
      </c>
      <c r="T191" s="10" t="str">
        <f t="shared" si="67"/>
        <v>Outdoor Edge Ignitro,Accueil,Messer plus,Klappmesser,Böker,Outdoor Edge</v>
      </c>
      <c r="U191" s="10" t="str">
        <f t="shared" si="68"/>
        <v>Outdoor Edge Ignitro</v>
      </c>
      <c r="V191" s="10" t="str">
        <f t="shared" si="69"/>
        <v>Outdoor Edge Ignitro,Accueil,Messer plus,Klappmesser,Böker,Outdoor Edge</v>
      </c>
      <c r="W191" s="10">
        <v>1</v>
      </c>
      <c r="X191" s="10">
        <v>1</v>
      </c>
      <c r="Y191" s="17" t="str">
        <f t="shared" si="65"/>
        <v>http://usfh.ch/img/Messer/01OE095.jpg</v>
      </c>
      <c r="Z191" s="10" t="str">
        <f t="shared" si="70"/>
        <v>01OE095</v>
      </c>
      <c r="AA191" s="13">
        <f t="shared" si="71"/>
        <v>36</v>
      </c>
      <c r="AB191" s="13">
        <f t="shared" si="72"/>
        <v>15.4</v>
      </c>
      <c r="AC191" s="10">
        <v>0.5</v>
      </c>
    </row>
    <row r="192" spans="1:29" s="14" customFormat="1" ht="15" customHeight="1" x14ac:dyDescent="0.25">
      <c r="A192" s="10">
        <v>191</v>
      </c>
      <c r="B192" s="10"/>
      <c r="C192" s="10"/>
      <c r="D192" s="10"/>
      <c r="E192" s="10"/>
      <c r="F192" s="10">
        <v>2</v>
      </c>
      <c r="G192" s="11" t="s">
        <v>588</v>
      </c>
      <c r="H192" s="10">
        <v>1</v>
      </c>
      <c r="I192" s="16" t="s">
        <v>589</v>
      </c>
      <c r="J192" s="10" t="s">
        <v>30</v>
      </c>
      <c r="K192" s="10"/>
      <c r="L192" s="9">
        <v>35</v>
      </c>
      <c r="M192" s="10">
        <v>53</v>
      </c>
      <c r="N192" s="9">
        <v>11</v>
      </c>
      <c r="O192" s="10" t="str">
        <f t="shared" si="66"/>
        <v>02RU034</v>
      </c>
      <c r="P192" s="10" t="s">
        <v>40</v>
      </c>
      <c r="Q192" s="10" t="s">
        <v>500</v>
      </c>
      <c r="R192" s="12">
        <v>4045011153624</v>
      </c>
      <c r="S192" s="16" t="s">
        <v>590</v>
      </c>
      <c r="T192" s="10" t="str">
        <f t="shared" si="67"/>
        <v>K25 Neck Knife,Accueil,Messer plus,feste Klinge,Böker,K25</v>
      </c>
      <c r="U192" s="10" t="str">
        <f t="shared" si="68"/>
        <v>K25 Neck Knife</v>
      </c>
      <c r="V192" s="10" t="str">
        <f t="shared" si="69"/>
        <v>K25 Neck Knife,Accueil,Messer plus,feste Klinge,Böker,K25</v>
      </c>
      <c r="W192" s="10">
        <v>1</v>
      </c>
      <c r="X192" s="10">
        <v>1</v>
      </c>
      <c r="Y192" s="17" t="str">
        <f t="shared" ref="Y192:Y217" si="73" xml:space="preserve"> "http://usfh.ch/img/Messer/" &amp; G192 &amp; ".jpg"</f>
        <v>http://usfh.ch/img/Messer/02RU034.jpg</v>
      </c>
      <c r="Z192" s="10" t="str">
        <f t="shared" si="70"/>
        <v>02RU034</v>
      </c>
      <c r="AA192" s="13">
        <f t="shared" si="71"/>
        <v>70</v>
      </c>
      <c r="AB192" s="13">
        <f t="shared" si="72"/>
        <v>22</v>
      </c>
      <c r="AC192" s="10">
        <v>0.5</v>
      </c>
    </row>
    <row r="193" spans="1:29" s="14" customFormat="1" ht="15" customHeight="1" x14ac:dyDescent="0.25">
      <c r="A193" s="10">
        <v>192</v>
      </c>
      <c r="B193" s="10"/>
      <c r="C193" s="10"/>
      <c r="D193" s="10"/>
      <c r="E193" s="10"/>
      <c r="F193" s="10">
        <v>2</v>
      </c>
      <c r="G193" s="11" t="s">
        <v>591</v>
      </c>
      <c r="H193" s="10">
        <v>1</v>
      </c>
      <c r="I193" s="16" t="s">
        <v>592</v>
      </c>
      <c r="J193" s="10" t="s">
        <v>30</v>
      </c>
      <c r="K193" s="10"/>
      <c r="L193" s="9">
        <v>99</v>
      </c>
      <c r="M193" s="10">
        <v>53</v>
      </c>
      <c r="N193" s="9">
        <v>36.299999999999997</v>
      </c>
      <c r="O193" s="10" t="str">
        <f t="shared" si="66"/>
        <v>02RU045</v>
      </c>
      <c r="P193" s="10" t="s">
        <v>40</v>
      </c>
      <c r="Q193" s="10" t="s">
        <v>500</v>
      </c>
      <c r="R193" s="12">
        <v>4045011181993</v>
      </c>
      <c r="S193" s="16" t="s">
        <v>593</v>
      </c>
      <c r="T193" s="10" t="str">
        <f t="shared" si="67"/>
        <v>K25 Bravo,Accueil,Messer plus,feste Klinge,Böker,K25</v>
      </c>
      <c r="U193" s="10" t="str">
        <f t="shared" si="68"/>
        <v>K25 Bravo</v>
      </c>
      <c r="V193" s="10" t="str">
        <f t="shared" si="69"/>
        <v>K25 Bravo,Accueil,Messer plus,feste Klinge,Böker,K25</v>
      </c>
      <c r="W193" s="10">
        <v>1</v>
      </c>
      <c r="X193" s="10">
        <v>1</v>
      </c>
      <c r="Y193" s="17" t="str">
        <f t="shared" si="73"/>
        <v>http://usfh.ch/img/Messer/02RU045.jpg</v>
      </c>
      <c r="Z193" s="10" t="str">
        <f t="shared" si="70"/>
        <v>02RU045</v>
      </c>
      <c r="AA193" s="13">
        <f t="shared" si="71"/>
        <v>198</v>
      </c>
      <c r="AB193" s="13">
        <f t="shared" si="72"/>
        <v>72.599999999999994</v>
      </c>
      <c r="AC193" s="10">
        <v>0.5</v>
      </c>
    </row>
    <row r="194" spans="1:29" s="14" customFormat="1" ht="15" customHeight="1" x14ac:dyDescent="0.25">
      <c r="A194" s="10">
        <v>193</v>
      </c>
      <c r="B194" s="10"/>
      <c r="C194" s="10"/>
      <c r="D194" s="10"/>
      <c r="E194" s="10"/>
      <c r="F194" s="10">
        <v>1</v>
      </c>
      <c r="G194" s="11" t="s">
        <v>594</v>
      </c>
      <c r="H194" s="10">
        <v>1</v>
      </c>
      <c r="I194" s="16" t="s">
        <v>595</v>
      </c>
      <c r="J194" s="10" t="s">
        <v>30</v>
      </c>
      <c r="K194" s="10"/>
      <c r="L194" s="9">
        <v>35</v>
      </c>
      <c r="M194" s="10">
        <v>53</v>
      </c>
      <c r="N194" s="9">
        <v>11.5</v>
      </c>
      <c r="O194" s="10" t="str">
        <f t="shared" si="66"/>
        <v>02RU066</v>
      </c>
      <c r="P194" s="10" t="s">
        <v>40</v>
      </c>
      <c r="Q194" s="10" t="s">
        <v>500</v>
      </c>
      <c r="R194" s="12">
        <v>4045011200984</v>
      </c>
      <c r="S194" s="16" t="s">
        <v>596</v>
      </c>
      <c r="T194" s="10" t="str">
        <f t="shared" si="67"/>
        <v>K25 Neck Knife 32372,Accueil,Messer plus,feste Klinge,Böker,K25</v>
      </c>
      <c r="U194" s="10" t="str">
        <f t="shared" si="68"/>
        <v>K25 Neck Knife 32372</v>
      </c>
      <c r="V194" s="10" t="str">
        <f t="shared" si="69"/>
        <v>K25 Neck Knife 32372,Accueil,Messer plus,feste Klinge,Böker,K25</v>
      </c>
      <c r="W194" s="10">
        <v>1</v>
      </c>
      <c r="X194" s="10">
        <v>1</v>
      </c>
      <c r="Y194" s="17" t="str">
        <f t="shared" si="73"/>
        <v>http://usfh.ch/img/Messer/02RU066.jpg</v>
      </c>
      <c r="Z194" s="10" t="str">
        <f t="shared" si="70"/>
        <v>02RU066</v>
      </c>
      <c r="AA194" s="13">
        <f t="shared" si="71"/>
        <v>35</v>
      </c>
      <c r="AB194" s="13">
        <f t="shared" si="72"/>
        <v>11.5</v>
      </c>
      <c r="AC194" s="10">
        <v>0.5</v>
      </c>
    </row>
    <row r="195" spans="1:29" s="14" customFormat="1" ht="15" customHeight="1" x14ac:dyDescent="0.25">
      <c r="A195" s="10">
        <v>194</v>
      </c>
      <c r="B195" s="10"/>
      <c r="C195" s="10"/>
      <c r="D195" s="10"/>
      <c r="E195" s="10"/>
      <c r="F195" s="10">
        <v>3</v>
      </c>
      <c r="G195" s="11">
        <v>80441</v>
      </c>
      <c r="H195" s="10">
        <v>1</v>
      </c>
      <c r="I195" s="16" t="s">
        <v>597</v>
      </c>
      <c r="J195" s="10" t="s">
        <v>30</v>
      </c>
      <c r="K195" s="10"/>
      <c r="L195" s="9">
        <v>35</v>
      </c>
      <c r="M195" s="10">
        <v>53</v>
      </c>
      <c r="N195" s="9">
        <v>11.5</v>
      </c>
      <c r="O195" s="10">
        <f t="shared" si="66"/>
        <v>80441</v>
      </c>
      <c r="P195" s="10" t="s">
        <v>44</v>
      </c>
      <c r="Q195" s="10" t="s">
        <v>44</v>
      </c>
      <c r="R195" s="12"/>
      <c r="S195" s="16" t="s">
        <v>598</v>
      </c>
      <c r="T195" s="10" t="str">
        <f t="shared" si="67"/>
        <v>Neck Knife ,Accueil,Messer plus,feste Klinge,Haller,Haller</v>
      </c>
      <c r="U195" s="10" t="str">
        <f t="shared" si="68"/>
        <v xml:space="preserve">Neck Knife </v>
      </c>
      <c r="V195" s="10" t="str">
        <f t="shared" si="69"/>
        <v>Neck Knife ,Accueil,Messer plus,feste Klinge,Haller,Haller</v>
      </c>
      <c r="W195" s="10">
        <v>1</v>
      </c>
      <c r="X195" s="10">
        <v>1</v>
      </c>
      <c r="Y195" s="17" t="str">
        <f t="shared" si="73"/>
        <v>http://usfh.ch/img/Messer/80441.jpg</v>
      </c>
      <c r="Z195" s="10">
        <f t="shared" si="70"/>
        <v>80441</v>
      </c>
      <c r="AA195" s="13">
        <f t="shared" si="71"/>
        <v>105</v>
      </c>
      <c r="AB195" s="13">
        <f t="shared" si="72"/>
        <v>34.5</v>
      </c>
      <c r="AC195" s="10">
        <v>0.5</v>
      </c>
    </row>
    <row r="196" spans="1:29" s="14" customFormat="1" ht="15" customHeight="1" x14ac:dyDescent="0.25">
      <c r="A196" s="10">
        <v>195</v>
      </c>
      <c r="B196" s="10"/>
      <c r="C196" s="10"/>
      <c r="D196" s="10"/>
      <c r="E196" s="10"/>
      <c r="F196" s="10">
        <v>0</v>
      </c>
      <c r="G196" s="11">
        <v>2111001210</v>
      </c>
      <c r="H196" s="10">
        <v>1</v>
      </c>
      <c r="I196" s="16" t="s">
        <v>599</v>
      </c>
      <c r="J196" s="10" t="s">
        <v>30</v>
      </c>
      <c r="K196" s="10"/>
      <c r="L196" s="9">
        <v>26</v>
      </c>
      <c r="M196" s="10">
        <v>53</v>
      </c>
      <c r="N196" s="9">
        <v>12.95</v>
      </c>
      <c r="O196" s="10">
        <f t="shared" si="66"/>
        <v>2111001210</v>
      </c>
      <c r="P196" s="10" t="s">
        <v>337</v>
      </c>
      <c r="Q196" s="10" t="s">
        <v>337</v>
      </c>
      <c r="R196" s="12"/>
      <c r="S196" s="16"/>
      <c r="T196" s="10" t="str">
        <f t="shared" si="67"/>
        <v>LMF FireSteel cocoshell,Accueil,Messer plus,feste Klinge,naturzone,naturzone</v>
      </c>
      <c r="U196" s="10" t="str">
        <f t="shared" si="68"/>
        <v>LMF FireSteel cocoshell</v>
      </c>
      <c r="V196" s="10" t="str">
        <f t="shared" si="69"/>
        <v>LMF FireSteel cocoshell,Accueil,Messer plus,feste Klinge,naturzone,naturzone</v>
      </c>
      <c r="W196" s="10">
        <v>1</v>
      </c>
      <c r="X196" s="10">
        <v>1</v>
      </c>
      <c r="Y196" s="17" t="str">
        <f t="shared" si="73"/>
        <v>http://usfh.ch/img/Messer/2111001210.jpg</v>
      </c>
      <c r="Z196" s="10">
        <f t="shared" si="70"/>
        <v>2111001210</v>
      </c>
      <c r="AA196" s="13">
        <f t="shared" si="71"/>
        <v>0</v>
      </c>
      <c r="AB196" s="13">
        <f t="shared" si="72"/>
        <v>0</v>
      </c>
      <c r="AC196" s="10">
        <v>0.5</v>
      </c>
    </row>
    <row r="197" spans="1:29" s="14" customFormat="1" ht="15" customHeight="1" x14ac:dyDescent="0.25">
      <c r="A197" s="10">
        <v>196</v>
      </c>
      <c r="B197" s="10"/>
      <c r="C197" s="10"/>
      <c r="D197" s="10"/>
      <c r="E197" s="10"/>
      <c r="F197" s="10">
        <v>0</v>
      </c>
      <c r="G197" s="11">
        <v>2111010310</v>
      </c>
      <c r="H197" s="10">
        <v>1</v>
      </c>
      <c r="I197" s="16" t="s">
        <v>600</v>
      </c>
      <c r="J197" s="10" t="s">
        <v>30</v>
      </c>
      <c r="K197" s="10"/>
      <c r="L197" s="9">
        <v>26</v>
      </c>
      <c r="M197" s="10">
        <v>53</v>
      </c>
      <c r="N197" s="9">
        <v>12.95</v>
      </c>
      <c r="O197" s="10">
        <f t="shared" si="66"/>
        <v>2111010310</v>
      </c>
      <c r="P197" s="10" t="s">
        <v>337</v>
      </c>
      <c r="Q197" s="10" t="s">
        <v>337</v>
      </c>
      <c r="R197" s="12"/>
      <c r="S197" s="16"/>
      <c r="T197" s="10" t="str">
        <f t="shared" si="67"/>
        <v>LMF FireSteel orange,Accueil,Messer plus,feste Klinge,naturzone,naturzone</v>
      </c>
      <c r="U197" s="10" t="str">
        <f t="shared" si="68"/>
        <v>LMF FireSteel orange</v>
      </c>
      <c r="V197" s="10" t="str">
        <f t="shared" si="69"/>
        <v>LMF FireSteel orange,Accueil,Messer plus,feste Klinge,naturzone,naturzone</v>
      </c>
      <c r="W197" s="10">
        <v>1</v>
      </c>
      <c r="X197" s="10">
        <v>1</v>
      </c>
      <c r="Y197" s="17" t="str">
        <f t="shared" si="73"/>
        <v>http://usfh.ch/img/Messer/2111010310.jpg</v>
      </c>
      <c r="Z197" s="10">
        <f t="shared" si="70"/>
        <v>2111010310</v>
      </c>
      <c r="AA197" s="13">
        <f t="shared" si="71"/>
        <v>0</v>
      </c>
      <c r="AB197" s="13">
        <f t="shared" si="72"/>
        <v>0</v>
      </c>
      <c r="AC197" s="10">
        <v>0.5</v>
      </c>
    </row>
    <row r="198" spans="1:29" s="14" customFormat="1" ht="15" customHeight="1" x14ac:dyDescent="0.25">
      <c r="A198" s="10">
        <v>197</v>
      </c>
      <c r="B198" s="10"/>
      <c r="C198" s="10"/>
      <c r="D198" s="10"/>
      <c r="E198" s="10"/>
      <c r="F198" s="10">
        <v>0</v>
      </c>
      <c r="G198" s="11">
        <v>2111011010</v>
      </c>
      <c r="H198" s="10">
        <v>1</v>
      </c>
      <c r="I198" s="16" t="s">
        <v>601</v>
      </c>
      <c r="J198" s="10" t="s">
        <v>30</v>
      </c>
      <c r="K198" s="10"/>
      <c r="L198" s="9">
        <v>26</v>
      </c>
      <c r="M198" s="10">
        <v>53</v>
      </c>
      <c r="N198" s="9">
        <v>12.95</v>
      </c>
      <c r="O198" s="10">
        <f t="shared" si="66"/>
        <v>2111011010</v>
      </c>
      <c r="P198" s="10" t="s">
        <v>337</v>
      </c>
      <c r="Q198" s="10" t="s">
        <v>337</v>
      </c>
      <c r="R198" s="12"/>
      <c r="S198" s="16"/>
      <c r="T198" s="10" t="str">
        <f t="shared" si="67"/>
        <v>LMF FireSteel black,Accueil,Messer plus,feste Klinge,naturzone,naturzone</v>
      </c>
      <c r="U198" s="10" t="str">
        <f t="shared" si="68"/>
        <v>LMF FireSteel black</v>
      </c>
      <c r="V198" s="10" t="str">
        <f t="shared" si="69"/>
        <v>LMF FireSteel black,Accueil,Messer plus,feste Klinge,naturzone,naturzone</v>
      </c>
      <c r="W198" s="10">
        <v>1</v>
      </c>
      <c r="X198" s="10">
        <v>1</v>
      </c>
      <c r="Y198" s="17" t="str">
        <f t="shared" si="73"/>
        <v>http://usfh.ch/img/Messer/2111011010.jpg</v>
      </c>
      <c r="Z198" s="10">
        <f t="shared" si="70"/>
        <v>2111011010</v>
      </c>
      <c r="AA198" s="13">
        <f t="shared" si="71"/>
        <v>0</v>
      </c>
      <c r="AB198" s="13">
        <f t="shared" si="72"/>
        <v>0</v>
      </c>
      <c r="AC198" s="10">
        <v>0.5</v>
      </c>
    </row>
    <row r="199" spans="1:29" s="14" customFormat="1" ht="15" customHeight="1" x14ac:dyDescent="0.25">
      <c r="A199" s="10">
        <v>198</v>
      </c>
      <c r="B199" s="10"/>
      <c r="C199" s="10"/>
      <c r="D199" s="10"/>
      <c r="E199" s="10"/>
      <c r="F199" s="10">
        <v>0</v>
      </c>
      <c r="G199" s="11">
        <v>83501</v>
      </c>
      <c r="H199" s="10">
        <v>1</v>
      </c>
      <c r="I199" s="16" t="s">
        <v>602</v>
      </c>
      <c r="J199" s="10" t="s">
        <v>30</v>
      </c>
      <c r="K199" s="10"/>
      <c r="L199" s="9">
        <v>59</v>
      </c>
      <c r="M199" s="10">
        <v>53</v>
      </c>
      <c r="N199" s="9">
        <v>16.350000000000001</v>
      </c>
      <c r="O199" s="10">
        <f t="shared" si="66"/>
        <v>83501</v>
      </c>
      <c r="P199" s="10" t="s">
        <v>44</v>
      </c>
      <c r="Q199" s="10" t="s">
        <v>44</v>
      </c>
      <c r="R199" s="12"/>
      <c r="S199" s="16" t="s">
        <v>603</v>
      </c>
      <c r="T199" s="10" t="str">
        <f t="shared" si="67"/>
        <v>Schwertset 2 teilig,Accueil,Messer plus,feste Klinge,Haller,Haller</v>
      </c>
      <c r="U199" s="10" t="str">
        <f t="shared" si="68"/>
        <v>Schwertset 2 teilig</v>
      </c>
      <c r="V199" s="10" t="str">
        <f t="shared" si="69"/>
        <v>Schwertset 2 teilig,Accueil,Messer plus,feste Klinge,Haller,Haller</v>
      </c>
      <c r="W199" s="10">
        <v>1</v>
      </c>
      <c r="X199" s="10">
        <v>1</v>
      </c>
      <c r="Y199" s="17" t="str">
        <f t="shared" si="73"/>
        <v>http://usfh.ch/img/Messer/83501.jpg</v>
      </c>
      <c r="Z199" s="10">
        <f t="shared" si="70"/>
        <v>83501</v>
      </c>
      <c r="AA199" s="13">
        <f t="shared" si="71"/>
        <v>0</v>
      </c>
      <c r="AB199" s="13">
        <f t="shared" si="72"/>
        <v>0</v>
      </c>
      <c r="AC199" s="10">
        <v>0.5</v>
      </c>
    </row>
    <row r="200" spans="1:29" s="14" customFormat="1" ht="15" customHeight="1" x14ac:dyDescent="0.25">
      <c r="A200" s="10">
        <v>199</v>
      </c>
      <c r="B200" s="10"/>
      <c r="C200" s="10"/>
      <c r="D200" s="10"/>
      <c r="E200" s="10"/>
      <c r="F200" s="10">
        <v>2</v>
      </c>
      <c r="G200" s="11" t="s">
        <v>604</v>
      </c>
      <c r="H200" s="10">
        <v>1</v>
      </c>
      <c r="I200" s="16" t="s">
        <v>605</v>
      </c>
      <c r="J200" s="10" t="s">
        <v>27</v>
      </c>
      <c r="K200" s="10"/>
      <c r="L200" s="9">
        <v>87</v>
      </c>
      <c r="M200" s="10">
        <v>53</v>
      </c>
      <c r="N200" s="9">
        <v>35</v>
      </c>
      <c r="O200" s="10" t="str">
        <f t="shared" si="66"/>
        <v>BY03GP2</v>
      </c>
      <c r="P200" s="10" t="s">
        <v>119</v>
      </c>
      <c r="Q200" s="10" t="s">
        <v>211</v>
      </c>
      <c r="R200" s="12"/>
      <c r="S200" s="16" t="s">
        <v>606</v>
      </c>
      <c r="T200" s="10" t="str">
        <f t="shared" si="67"/>
        <v>BYRD CARA CARA 2 G-10,Accueil,Messer plus,Klappmesser,Klötzli,Spyderco</v>
      </c>
      <c r="U200" s="10" t="str">
        <f t="shared" si="68"/>
        <v>BYRD CARA CARA 2 G-10</v>
      </c>
      <c r="V200" s="10" t="str">
        <f t="shared" si="69"/>
        <v>BYRD CARA CARA 2 G-10,Accueil,Messer plus,Klappmesser,Klötzli,Spyderco</v>
      </c>
      <c r="W200" s="10">
        <v>1</v>
      </c>
      <c r="X200" s="10">
        <v>1</v>
      </c>
      <c r="Y200" s="17" t="str">
        <f t="shared" si="73"/>
        <v>http://usfh.ch/img/Messer/BY03GP2.jpg</v>
      </c>
      <c r="Z200" s="10" t="str">
        <f t="shared" si="70"/>
        <v>BY03GP2</v>
      </c>
      <c r="AA200" s="13">
        <f t="shared" si="71"/>
        <v>174</v>
      </c>
      <c r="AB200" s="13">
        <f t="shared" si="72"/>
        <v>70</v>
      </c>
      <c r="AC200" s="10">
        <v>0.5</v>
      </c>
    </row>
    <row r="201" spans="1:29" s="14" customFormat="1" ht="15" customHeight="1" x14ac:dyDescent="0.25">
      <c r="A201" s="10">
        <v>200</v>
      </c>
      <c r="B201" s="10"/>
      <c r="C201" s="10"/>
      <c r="D201" s="10"/>
      <c r="E201" s="10"/>
      <c r="F201" s="10">
        <v>1</v>
      </c>
      <c r="G201" s="11" t="s">
        <v>607</v>
      </c>
      <c r="H201" s="10">
        <v>1</v>
      </c>
      <c r="I201" s="16" t="s">
        <v>608</v>
      </c>
      <c r="J201" s="10" t="s">
        <v>27</v>
      </c>
      <c r="K201" s="10"/>
      <c r="L201" s="9">
        <v>61</v>
      </c>
      <c r="M201" s="10">
        <v>53</v>
      </c>
      <c r="N201" s="9">
        <v>24</v>
      </c>
      <c r="O201" s="10" t="str">
        <f t="shared" si="66"/>
        <v>BY03PBK2</v>
      </c>
      <c r="P201" s="10" t="s">
        <v>119</v>
      </c>
      <c r="Q201" s="10" t="s">
        <v>211</v>
      </c>
      <c r="R201" s="12"/>
      <c r="S201" s="16" t="s">
        <v>609</v>
      </c>
      <c r="T201" s="10" t="str">
        <f t="shared" si="67"/>
        <v>BYRD CARA CARA 2 LIGHTWEIGHT,Accueil,Messer plus,Klappmesser,Klötzli,Spyderco</v>
      </c>
      <c r="U201" s="10" t="str">
        <f t="shared" si="68"/>
        <v>BYRD CARA CARA 2 LIGHTWEIGHT</v>
      </c>
      <c r="V201" s="10" t="str">
        <f t="shared" si="69"/>
        <v>BYRD CARA CARA 2 LIGHTWEIGHT,Accueil,Messer plus,Klappmesser,Klötzli,Spyderco</v>
      </c>
      <c r="W201" s="10">
        <v>1</v>
      </c>
      <c r="X201" s="10">
        <v>1</v>
      </c>
      <c r="Y201" s="17" t="str">
        <f t="shared" si="73"/>
        <v>http://usfh.ch/img/Messer/BY03PBK2.jpg</v>
      </c>
      <c r="Z201" s="10" t="str">
        <f t="shared" si="70"/>
        <v>BY03PBK2</v>
      </c>
      <c r="AA201" s="13">
        <f t="shared" si="71"/>
        <v>61</v>
      </c>
      <c r="AB201" s="13">
        <f t="shared" si="72"/>
        <v>24</v>
      </c>
      <c r="AC201" s="10">
        <v>0.5</v>
      </c>
    </row>
    <row r="202" spans="1:29" s="14" customFormat="1" ht="15" customHeight="1" x14ac:dyDescent="0.25">
      <c r="A202" s="10">
        <v>201</v>
      </c>
      <c r="B202" s="10"/>
      <c r="C202" s="10"/>
      <c r="D202" s="10"/>
      <c r="E202" s="10"/>
      <c r="F202" s="10">
        <v>1</v>
      </c>
      <c r="G202" s="11">
        <v>42959</v>
      </c>
      <c r="H202" s="10">
        <v>1</v>
      </c>
      <c r="I202" s="16" t="s">
        <v>610</v>
      </c>
      <c r="J202" s="10" t="s">
        <v>27</v>
      </c>
      <c r="K202" s="10"/>
      <c r="L202" s="9">
        <v>35</v>
      </c>
      <c r="M202" s="10">
        <v>53</v>
      </c>
      <c r="N202" s="9">
        <v>5.75</v>
      </c>
      <c r="O202" s="10">
        <f t="shared" si="66"/>
        <v>42959</v>
      </c>
      <c r="P202" s="10" t="s">
        <v>44</v>
      </c>
      <c r="Q202" s="10" t="s">
        <v>44</v>
      </c>
      <c r="R202" s="12"/>
      <c r="S202" s="16" t="s">
        <v>611</v>
      </c>
      <c r="T202" s="10" t="str">
        <f t="shared" si="67"/>
        <v>JUGEND-TASCHENMESSER,Accueil,Messer plus,Klappmesser,Haller,Haller</v>
      </c>
      <c r="U202" s="10" t="str">
        <f t="shared" si="68"/>
        <v>JUGEND-TASCHENMESSER</v>
      </c>
      <c r="V202" s="10" t="str">
        <f t="shared" si="69"/>
        <v>JUGEND-TASCHENMESSER,Accueil,Messer plus,Klappmesser,Haller,Haller</v>
      </c>
      <c r="W202" s="10">
        <v>1</v>
      </c>
      <c r="X202" s="10">
        <v>1</v>
      </c>
      <c r="Y202" s="17" t="str">
        <f t="shared" si="73"/>
        <v>http://usfh.ch/img/Messer/42959.jpg</v>
      </c>
      <c r="Z202" s="10">
        <f t="shared" si="70"/>
        <v>42959</v>
      </c>
      <c r="AA202" s="13">
        <f t="shared" si="71"/>
        <v>35</v>
      </c>
      <c r="AB202" s="13">
        <f t="shared" si="72"/>
        <v>5.75</v>
      </c>
      <c r="AC202" s="10">
        <v>0.5</v>
      </c>
    </row>
    <row r="203" spans="1:29" s="14" customFormat="1" ht="15" customHeight="1" x14ac:dyDescent="0.25">
      <c r="A203" s="10">
        <v>202</v>
      </c>
      <c r="B203" s="10"/>
      <c r="C203" s="10"/>
      <c r="D203" s="10"/>
      <c r="E203" s="10"/>
      <c r="F203" s="10">
        <v>1</v>
      </c>
      <c r="G203" s="11">
        <v>80620</v>
      </c>
      <c r="H203" s="10">
        <v>1</v>
      </c>
      <c r="I203" s="16" t="s">
        <v>612</v>
      </c>
      <c r="J203" s="10" t="s">
        <v>30</v>
      </c>
      <c r="K203" s="10"/>
      <c r="L203" s="9">
        <v>159</v>
      </c>
      <c r="M203" s="10">
        <v>53</v>
      </c>
      <c r="N203" s="9">
        <v>60.4</v>
      </c>
      <c r="O203" s="10">
        <f t="shared" si="66"/>
        <v>80620</v>
      </c>
      <c r="P203" s="10" t="s">
        <v>44</v>
      </c>
      <c r="Q203" s="10" t="s">
        <v>44</v>
      </c>
      <c r="R203" s="12"/>
      <c r="S203" s="16" t="s">
        <v>613</v>
      </c>
      <c r="T203" s="10" t="str">
        <f t="shared" si="67"/>
        <v>HALLER DAMASTMESSER IN GESCHENKBOX,Accueil,Messer plus,feste Klinge,Haller,Haller</v>
      </c>
      <c r="U203" s="10" t="str">
        <f t="shared" si="68"/>
        <v>HALLER DAMASTMESSER IN GESCHENKBOX</v>
      </c>
      <c r="V203" s="10" t="str">
        <f t="shared" si="69"/>
        <v>HALLER DAMASTMESSER IN GESCHENKBOX,Accueil,Messer plus,feste Klinge,Haller,Haller</v>
      </c>
      <c r="W203" s="10">
        <v>1</v>
      </c>
      <c r="X203" s="10">
        <v>1</v>
      </c>
      <c r="Y203" s="17" t="str">
        <f t="shared" si="73"/>
        <v>http://usfh.ch/img/Messer/80620.jpg</v>
      </c>
      <c r="Z203" s="10">
        <f t="shared" si="70"/>
        <v>80620</v>
      </c>
      <c r="AA203" s="13">
        <f t="shared" si="71"/>
        <v>159</v>
      </c>
      <c r="AB203" s="13">
        <f t="shared" si="72"/>
        <v>60.4</v>
      </c>
      <c r="AC203" s="10">
        <v>0.5</v>
      </c>
    </row>
    <row r="204" spans="1:29" s="14" customFormat="1" ht="15" customHeight="1" x14ac:dyDescent="0.25">
      <c r="A204" s="10">
        <v>203</v>
      </c>
      <c r="B204" s="10"/>
      <c r="C204" s="10"/>
      <c r="D204" s="10"/>
      <c r="E204" s="10"/>
      <c r="F204" s="10">
        <v>1</v>
      </c>
      <c r="G204" s="11">
        <v>81564</v>
      </c>
      <c r="H204" s="10">
        <v>1</v>
      </c>
      <c r="I204" s="16" t="s">
        <v>614</v>
      </c>
      <c r="J204" s="10" t="s">
        <v>30</v>
      </c>
      <c r="K204" s="10"/>
      <c r="L204" s="9">
        <v>89</v>
      </c>
      <c r="M204" s="10">
        <v>53</v>
      </c>
      <c r="N204" s="9">
        <v>32</v>
      </c>
      <c r="O204" s="10">
        <f t="shared" si="66"/>
        <v>81564</v>
      </c>
      <c r="P204" s="10" t="s">
        <v>44</v>
      </c>
      <c r="Q204" s="10" t="s">
        <v>44</v>
      </c>
      <c r="R204" s="12"/>
      <c r="S204" s="16" t="s">
        <v>615</v>
      </c>
      <c r="T204" s="10" t="str">
        <f t="shared" si="67"/>
        <v>MESSER MIT DAMASTKLINGE,Accueil,Messer plus,feste Klinge,Haller,Haller</v>
      </c>
      <c r="U204" s="10" t="str">
        <f t="shared" si="68"/>
        <v>MESSER MIT DAMASTKLINGE</v>
      </c>
      <c r="V204" s="10" t="str">
        <f t="shared" si="69"/>
        <v>MESSER MIT DAMASTKLINGE,Accueil,Messer plus,feste Klinge,Haller,Haller</v>
      </c>
      <c r="W204" s="10">
        <v>1</v>
      </c>
      <c r="X204" s="10">
        <v>1</v>
      </c>
      <c r="Y204" s="17" t="str">
        <f t="shared" si="73"/>
        <v>http://usfh.ch/img/Messer/81564.jpg</v>
      </c>
      <c r="Z204" s="10">
        <f t="shared" si="70"/>
        <v>81564</v>
      </c>
      <c r="AA204" s="13">
        <f t="shared" si="71"/>
        <v>89</v>
      </c>
      <c r="AB204" s="13">
        <f t="shared" si="72"/>
        <v>32</v>
      </c>
      <c r="AC204" s="10">
        <v>0.5</v>
      </c>
    </row>
    <row r="205" spans="1:29" s="14" customFormat="1" ht="15" customHeight="1" x14ac:dyDescent="0.25">
      <c r="A205" s="10">
        <v>204</v>
      </c>
      <c r="B205" s="10"/>
      <c r="C205" s="10"/>
      <c r="D205" s="10"/>
      <c r="E205" s="10"/>
      <c r="F205" s="10">
        <v>1</v>
      </c>
      <c r="G205" s="11">
        <v>81565</v>
      </c>
      <c r="H205" s="10">
        <v>1</v>
      </c>
      <c r="I205" s="16" t="s">
        <v>614</v>
      </c>
      <c r="J205" s="10" t="s">
        <v>30</v>
      </c>
      <c r="K205" s="10"/>
      <c r="L205" s="9">
        <v>99</v>
      </c>
      <c r="M205" s="10">
        <v>53</v>
      </c>
      <c r="N205" s="9">
        <v>32</v>
      </c>
      <c r="O205" s="10">
        <f t="shared" si="66"/>
        <v>81565</v>
      </c>
      <c r="P205" s="10" t="s">
        <v>44</v>
      </c>
      <c r="Q205" s="10" t="s">
        <v>44</v>
      </c>
      <c r="R205" s="12"/>
      <c r="S205" s="16" t="s">
        <v>616</v>
      </c>
      <c r="T205" s="10" t="str">
        <f t="shared" si="67"/>
        <v>MESSER MIT DAMASTKLINGE,Accueil,Messer plus,feste Klinge,Haller,Haller</v>
      </c>
      <c r="U205" s="10" t="str">
        <f t="shared" si="68"/>
        <v>MESSER MIT DAMASTKLINGE</v>
      </c>
      <c r="V205" s="10" t="str">
        <f t="shared" si="69"/>
        <v>MESSER MIT DAMASTKLINGE,Accueil,Messer plus,feste Klinge,Haller,Haller</v>
      </c>
      <c r="W205" s="10">
        <v>1</v>
      </c>
      <c r="X205" s="10">
        <v>1</v>
      </c>
      <c r="Y205" s="17" t="str">
        <f t="shared" si="73"/>
        <v>http://usfh.ch/img/Messer/81565.jpg</v>
      </c>
      <c r="Z205" s="10">
        <f t="shared" si="70"/>
        <v>81565</v>
      </c>
      <c r="AA205" s="13">
        <f t="shared" si="71"/>
        <v>99</v>
      </c>
      <c r="AB205" s="13">
        <f t="shared" si="72"/>
        <v>32</v>
      </c>
      <c r="AC205" s="10">
        <v>0.5</v>
      </c>
    </row>
    <row r="206" spans="1:29" s="14" customFormat="1" ht="15" customHeight="1" x14ac:dyDescent="0.25">
      <c r="A206" s="10">
        <v>205</v>
      </c>
      <c r="B206" s="10"/>
      <c r="C206" s="10"/>
      <c r="D206" s="10"/>
      <c r="E206" s="10"/>
      <c r="F206" s="10">
        <v>4</v>
      </c>
      <c r="G206" s="11">
        <v>83723</v>
      </c>
      <c r="H206" s="10">
        <v>1</v>
      </c>
      <c r="I206" s="16" t="s">
        <v>617</v>
      </c>
      <c r="J206" s="10" t="s">
        <v>27</v>
      </c>
      <c r="K206" s="10"/>
      <c r="L206" s="9">
        <v>59</v>
      </c>
      <c r="M206" s="10">
        <v>53</v>
      </c>
      <c r="N206" s="9">
        <v>14.95</v>
      </c>
      <c r="O206" s="10">
        <f t="shared" si="66"/>
        <v>83723</v>
      </c>
      <c r="P206" s="10" t="s">
        <v>44</v>
      </c>
      <c r="Q206" s="10" t="s">
        <v>44</v>
      </c>
      <c r="R206" s="12"/>
      <c r="S206" s="16" t="s">
        <v>618</v>
      </c>
      <c r="T206" s="10" t="str">
        <f t="shared" si="67"/>
        <v>E.D.C. TASCHENMESSER URBAN,Accueil,Messer plus,Klappmesser,Haller,Haller</v>
      </c>
      <c r="U206" s="10" t="str">
        <f t="shared" si="68"/>
        <v>E.D.C. TASCHENMESSER URBAN</v>
      </c>
      <c r="V206" s="10" t="str">
        <f t="shared" si="69"/>
        <v>E.D.C. TASCHENMESSER URBAN,Accueil,Messer plus,Klappmesser,Haller,Haller</v>
      </c>
      <c r="W206" s="10">
        <v>1</v>
      </c>
      <c r="X206" s="10">
        <v>1</v>
      </c>
      <c r="Y206" s="17" t="str">
        <f t="shared" si="73"/>
        <v>http://usfh.ch/img/Messer/83723.jpg</v>
      </c>
      <c r="Z206" s="10">
        <f t="shared" si="70"/>
        <v>83723</v>
      </c>
      <c r="AA206" s="13">
        <f t="shared" si="71"/>
        <v>236</v>
      </c>
      <c r="AB206" s="13">
        <f t="shared" si="72"/>
        <v>59.8</v>
      </c>
      <c r="AC206" s="10">
        <v>0.5</v>
      </c>
    </row>
    <row r="207" spans="1:29" s="14" customFormat="1" ht="15" customHeight="1" x14ac:dyDescent="0.25">
      <c r="A207" s="10">
        <v>206</v>
      </c>
      <c r="B207" s="10"/>
      <c r="C207" s="10"/>
      <c r="D207" s="10"/>
      <c r="E207" s="10"/>
      <c r="F207" s="10">
        <v>2</v>
      </c>
      <c r="G207" s="11" t="s">
        <v>871</v>
      </c>
      <c r="H207" s="10">
        <v>1</v>
      </c>
      <c r="I207" s="16" t="s">
        <v>619</v>
      </c>
      <c r="J207" s="10" t="s">
        <v>30</v>
      </c>
      <c r="K207" s="10"/>
      <c r="L207" s="9">
        <v>49</v>
      </c>
      <c r="M207" s="10">
        <v>53</v>
      </c>
      <c r="N207" s="9">
        <v>22</v>
      </c>
      <c r="O207" s="10" t="str">
        <f t="shared" si="66"/>
        <v>CS-39LSAA</v>
      </c>
      <c r="P207" s="10" t="s">
        <v>467</v>
      </c>
      <c r="Q207" s="10" t="s">
        <v>467</v>
      </c>
      <c r="R207" s="12"/>
      <c r="S207" s="16" t="s">
        <v>620</v>
      </c>
      <c r="T207" s="10" t="str">
        <f t="shared" si="67"/>
        <v>MINI LEATHERNECK TANTO,Accueil,Messer plus,feste Klinge,ColdSteel,ColdSteel</v>
      </c>
      <c r="U207" s="10" t="str">
        <f t="shared" si="68"/>
        <v>MINI LEATHERNECK TANTO</v>
      </c>
      <c r="V207" s="10" t="str">
        <f t="shared" si="69"/>
        <v>MINI LEATHERNECK TANTO,Accueil,Messer plus,feste Klinge,ColdSteel,ColdSteel</v>
      </c>
      <c r="W207" s="10">
        <v>1</v>
      </c>
      <c r="X207" s="10">
        <v>1</v>
      </c>
      <c r="Y207" s="17" t="str">
        <f t="shared" si="73"/>
        <v>http://usfh.ch/img/Messer/CS-39LSAA.jpg</v>
      </c>
      <c r="Z207" s="10" t="str">
        <f t="shared" si="70"/>
        <v>CS-39LSAA</v>
      </c>
      <c r="AA207" s="13">
        <f t="shared" si="71"/>
        <v>98</v>
      </c>
      <c r="AB207" s="13">
        <f t="shared" si="72"/>
        <v>44</v>
      </c>
      <c r="AC207" s="10">
        <v>0.5</v>
      </c>
    </row>
    <row r="208" spans="1:29" s="14" customFormat="1" ht="15" customHeight="1" x14ac:dyDescent="0.25">
      <c r="A208" s="10">
        <v>207</v>
      </c>
      <c r="B208" s="10"/>
      <c r="C208" s="10"/>
      <c r="D208" s="10"/>
      <c r="E208" s="10"/>
      <c r="F208" s="10">
        <v>2</v>
      </c>
      <c r="G208" s="11" t="s">
        <v>870</v>
      </c>
      <c r="H208" s="10">
        <v>1</v>
      </c>
      <c r="I208" s="16" t="s">
        <v>621</v>
      </c>
      <c r="J208" s="10" t="s">
        <v>30</v>
      </c>
      <c r="K208" s="10"/>
      <c r="L208" s="9">
        <v>49</v>
      </c>
      <c r="M208" s="10">
        <v>53</v>
      </c>
      <c r="N208" s="9">
        <v>21</v>
      </c>
      <c r="O208" s="10" t="str">
        <f t="shared" si="66"/>
        <v>CS-39LSAB</v>
      </c>
      <c r="P208" s="10" t="s">
        <v>467</v>
      </c>
      <c r="Q208" s="10" t="s">
        <v>467</v>
      </c>
      <c r="R208" s="12"/>
      <c r="S208" s="16" t="s">
        <v>622</v>
      </c>
      <c r="T208" s="10" t="str">
        <f t="shared" si="67"/>
        <v>MINI LEATHERNECK Clip point,Accueil,Messer plus,feste Klinge,ColdSteel,ColdSteel</v>
      </c>
      <c r="U208" s="10" t="str">
        <f t="shared" si="68"/>
        <v>MINI LEATHERNECK Clip point</v>
      </c>
      <c r="V208" s="10" t="str">
        <f t="shared" si="69"/>
        <v>MINI LEATHERNECK Clip point,Accueil,Messer plus,feste Klinge,ColdSteel,ColdSteel</v>
      </c>
      <c r="W208" s="10">
        <v>1</v>
      </c>
      <c r="X208" s="10">
        <v>1</v>
      </c>
      <c r="Y208" s="17" t="str">
        <f t="shared" si="73"/>
        <v>http://usfh.ch/img/Messer/CS-39LSAB.jpg</v>
      </c>
      <c r="Z208" s="10" t="str">
        <f t="shared" si="70"/>
        <v>CS-39LSAB</v>
      </c>
      <c r="AA208" s="13">
        <f t="shared" si="71"/>
        <v>98</v>
      </c>
      <c r="AB208" s="13">
        <f t="shared" si="72"/>
        <v>42</v>
      </c>
      <c r="AC208" s="10">
        <v>0.5</v>
      </c>
    </row>
    <row r="209" spans="1:29" s="14" customFormat="1" ht="15" customHeight="1" x14ac:dyDescent="0.25">
      <c r="A209" s="10">
        <v>208</v>
      </c>
      <c r="B209" s="10"/>
      <c r="C209" s="10"/>
      <c r="D209" s="10"/>
      <c r="E209" s="10"/>
      <c r="F209" s="10">
        <v>1</v>
      </c>
      <c r="G209" s="11" t="s">
        <v>623</v>
      </c>
      <c r="H209" s="10">
        <v>1</v>
      </c>
      <c r="I209" s="16" t="s">
        <v>624</v>
      </c>
      <c r="J209" s="10" t="s">
        <v>27</v>
      </c>
      <c r="K209" s="10"/>
      <c r="L209" s="9">
        <v>269</v>
      </c>
      <c r="M209" s="10">
        <v>53</v>
      </c>
      <c r="N209" s="9">
        <v>125</v>
      </c>
      <c r="O209" s="10" t="str">
        <f t="shared" ref="O209:O242" si="74">G209</f>
        <v>CST-62JL</v>
      </c>
      <c r="P209" s="10" t="s">
        <v>467</v>
      </c>
      <c r="Q209" s="10" t="s">
        <v>467</v>
      </c>
      <c r="R209" s="12"/>
      <c r="S209" s="16" t="s">
        <v>625</v>
      </c>
      <c r="T209" s="10" t="str">
        <f t="shared" si="67"/>
        <v>TASCHENMESSER RAJAH II, AUS 10A STAHL,Accueil,Messer plus,Klappmesser,ColdSteel,ColdSteel</v>
      </c>
      <c r="U209" s="10" t="str">
        <f t="shared" si="68"/>
        <v>TASCHENMESSER RAJAH II, AUS 10A STAHL</v>
      </c>
      <c r="V209" s="10" t="str">
        <f t="shared" si="69"/>
        <v>TASCHENMESSER RAJAH II, AUS 10A STAHL,Accueil,Messer plus,Klappmesser,ColdSteel,ColdSteel</v>
      </c>
      <c r="W209" s="10">
        <v>1</v>
      </c>
      <c r="X209" s="10">
        <v>1</v>
      </c>
      <c r="Y209" s="17" t="str">
        <f t="shared" si="73"/>
        <v>http://usfh.ch/img/Messer/CST-62JL.jpg</v>
      </c>
      <c r="Z209" s="10" t="str">
        <f t="shared" si="70"/>
        <v>CST-62JL</v>
      </c>
      <c r="AA209" s="13">
        <f t="shared" si="71"/>
        <v>269</v>
      </c>
      <c r="AB209" s="13">
        <f t="shared" si="72"/>
        <v>125</v>
      </c>
      <c r="AC209" s="10">
        <v>0.5</v>
      </c>
    </row>
    <row r="210" spans="1:29" s="14" customFormat="1" ht="15" customHeight="1" x14ac:dyDescent="0.25">
      <c r="A210" s="10">
        <v>209</v>
      </c>
      <c r="B210" s="10"/>
      <c r="C210" s="10"/>
      <c r="D210" s="10"/>
      <c r="E210" s="10"/>
      <c r="F210" s="10">
        <v>2</v>
      </c>
      <c r="G210" s="11" t="s">
        <v>626</v>
      </c>
      <c r="H210" s="10">
        <v>1</v>
      </c>
      <c r="I210" s="16" t="s">
        <v>627</v>
      </c>
      <c r="J210" s="10" t="s">
        <v>27</v>
      </c>
      <c r="K210" s="10"/>
      <c r="L210" s="9">
        <v>179</v>
      </c>
      <c r="M210" s="10">
        <v>53</v>
      </c>
      <c r="N210" s="9">
        <v>88</v>
      </c>
      <c r="O210" s="10" t="str">
        <f t="shared" si="74"/>
        <v>CST-21ST</v>
      </c>
      <c r="P210" s="10" t="s">
        <v>467</v>
      </c>
      <c r="Q210" s="10" t="s">
        <v>467</v>
      </c>
      <c r="R210" s="12"/>
      <c r="S210" s="16" t="s">
        <v>628</v>
      </c>
      <c r="T210" s="10" t="str">
        <f t="shared" si="67"/>
        <v>TASCHENMESSER SPARTAN, AUS 10A STAHL,Accueil,Messer plus,Klappmesser,ColdSteel,ColdSteel</v>
      </c>
      <c r="U210" s="10" t="str">
        <f t="shared" si="68"/>
        <v>TASCHENMESSER SPARTAN, AUS 10A STAHL</v>
      </c>
      <c r="V210" s="10" t="str">
        <f t="shared" si="69"/>
        <v>TASCHENMESSER SPARTAN, AUS 10A STAHL,Accueil,Messer plus,Klappmesser,ColdSteel,ColdSteel</v>
      </c>
      <c r="W210" s="10">
        <v>1</v>
      </c>
      <c r="X210" s="10">
        <v>1</v>
      </c>
      <c r="Y210" s="17" t="str">
        <f t="shared" si="73"/>
        <v>http://usfh.ch/img/Messer/CST-21ST.jpg</v>
      </c>
      <c r="Z210" s="10" t="str">
        <f t="shared" si="70"/>
        <v>CST-21ST</v>
      </c>
      <c r="AA210" s="13">
        <f t="shared" si="71"/>
        <v>358</v>
      </c>
      <c r="AB210" s="13">
        <f t="shared" si="72"/>
        <v>176</v>
      </c>
      <c r="AC210" s="10">
        <v>0.5</v>
      </c>
    </row>
    <row r="211" spans="1:29" s="14" customFormat="1" ht="15" customHeight="1" x14ac:dyDescent="0.25">
      <c r="A211" s="10">
        <v>210</v>
      </c>
      <c r="B211" s="10"/>
      <c r="C211" s="10"/>
      <c r="D211" s="10"/>
      <c r="E211" s="10"/>
      <c r="F211" s="10">
        <v>0</v>
      </c>
      <c r="G211" s="11">
        <v>8215009</v>
      </c>
      <c r="H211" s="10">
        <v>1</v>
      </c>
      <c r="I211" s="16" t="s">
        <v>629</v>
      </c>
      <c r="J211" s="10" t="s">
        <v>30</v>
      </c>
      <c r="K211" s="10"/>
      <c r="L211" s="9">
        <v>59</v>
      </c>
      <c r="M211" s="10">
        <v>53</v>
      </c>
      <c r="N211" s="9">
        <v>18.899999999999999</v>
      </c>
      <c r="O211" s="10">
        <f t="shared" si="74"/>
        <v>8215009</v>
      </c>
      <c r="P211" s="10" t="s">
        <v>630</v>
      </c>
      <c r="Q211" s="10" t="s">
        <v>630</v>
      </c>
      <c r="R211" s="12"/>
      <c r="S211" s="16" t="s">
        <v>631</v>
      </c>
      <c r="T211" s="10" t="str">
        <f t="shared" si="67"/>
        <v>Filetiermesser Set 5-teilig,Accueil,Messer plus,feste Klinge,jenzi,jenzi</v>
      </c>
      <c r="U211" s="10" t="str">
        <f t="shared" si="68"/>
        <v>Filetiermesser Set 5-teilig</v>
      </c>
      <c r="V211" s="10" t="str">
        <f t="shared" si="69"/>
        <v>Filetiermesser Set 5-teilig,Accueil,Messer plus,feste Klinge,jenzi,jenzi</v>
      </c>
      <c r="W211" s="10">
        <v>1</v>
      </c>
      <c r="X211" s="10">
        <v>1</v>
      </c>
      <c r="Y211" s="17" t="str">
        <f t="shared" si="73"/>
        <v>http://usfh.ch/img/Messer/8215009.jpg</v>
      </c>
      <c r="Z211" s="10">
        <f t="shared" si="70"/>
        <v>8215009</v>
      </c>
      <c r="AA211" s="13">
        <f t="shared" si="71"/>
        <v>0</v>
      </c>
      <c r="AB211" s="13">
        <f t="shared" si="72"/>
        <v>0</v>
      </c>
      <c r="AC211" s="10">
        <v>0.5</v>
      </c>
    </row>
    <row r="212" spans="1:29" s="14" customFormat="1" ht="15" customHeight="1" x14ac:dyDescent="0.25">
      <c r="A212" s="10">
        <v>211</v>
      </c>
      <c r="B212" s="10"/>
      <c r="C212" s="10"/>
      <c r="D212" s="10"/>
      <c r="E212" s="10"/>
      <c r="F212" s="10">
        <v>2</v>
      </c>
      <c r="G212" s="11">
        <v>11016606000</v>
      </c>
      <c r="H212" s="10">
        <v>1</v>
      </c>
      <c r="I212" s="16" t="s">
        <v>632</v>
      </c>
      <c r="J212" s="10" t="s">
        <v>30</v>
      </c>
      <c r="K212" s="10"/>
      <c r="L212" s="9">
        <v>69</v>
      </c>
      <c r="M212" s="10">
        <v>53</v>
      </c>
      <c r="N212" s="9">
        <v>39</v>
      </c>
      <c r="O212" s="10">
        <f t="shared" si="74"/>
        <v>11016606000</v>
      </c>
      <c r="P212" s="10" t="s">
        <v>31</v>
      </c>
      <c r="Q212" s="10" t="s">
        <v>32</v>
      </c>
      <c r="R212" s="12"/>
      <c r="S212" s="16" t="s">
        <v>633</v>
      </c>
      <c r="T212" s="10" t="str">
        <f t="shared" si="67"/>
        <v>Mach Tac 4,Accueil,Messer plus,feste Klinge,Airsoft,Walther</v>
      </c>
      <c r="U212" s="10" t="str">
        <f t="shared" si="68"/>
        <v>Mach Tac 4</v>
      </c>
      <c r="V212" s="10" t="str">
        <f t="shared" si="69"/>
        <v>Mach Tac 4,Accueil,Messer plus,feste Klinge,Airsoft,Walther</v>
      </c>
      <c r="W212" s="10">
        <v>1</v>
      </c>
      <c r="X212" s="10">
        <v>1</v>
      </c>
      <c r="Y212" s="17" t="str">
        <f t="shared" si="73"/>
        <v>http://usfh.ch/img/Messer/11016606000.jpg</v>
      </c>
      <c r="Z212" s="10">
        <f t="shared" si="70"/>
        <v>11016606000</v>
      </c>
      <c r="AA212" s="13">
        <f t="shared" si="71"/>
        <v>138</v>
      </c>
      <c r="AB212" s="13">
        <f t="shared" si="72"/>
        <v>78</v>
      </c>
      <c r="AC212" s="10">
        <v>0.5</v>
      </c>
    </row>
    <row r="213" spans="1:29" s="14" customFormat="1" ht="15" customHeight="1" x14ac:dyDescent="0.25">
      <c r="A213" s="10">
        <v>212</v>
      </c>
      <c r="B213" s="10"/>
      <c r="C213" s="10"/>
      <c r="D213" s="10"/>
      <c r="E213" s="10"/>
      <c r="F213" s="10">
        <v>2</v>
      </c>
      <c r="G213" s="11">
        <v>42511</v>
      </c>
      <c r="H213" s="10">
        <v>1</v>
      </c>
      <c r="I213" s="16" t="s">
        <v>635</v>
      </c>
      <c r="J213" s="10" t="s">
        <v>27</v>
      </c>
      <c r="K213" s="10"/>
      <c r="L213" s="9">
        <v>35</v>
      </c>
      <c r="M213" s="10">
        <v>53</v>
      </c>
      <c r="N213" s="9">
        <v>9.9499999999999993</v>
      </c>
      <c r="O213" s="10">
        <f t="shared" si="74"/>
        <v>42511</v>
      </c>
      <c r="P213" s="10" t="s">
        <v>44</v>
      </c>
      <c r="Q213" s="10" t="s">
        <v>44</v>
      </c>
      <c r="R213" s="12"/>
      <c r="S213" s="16" t="s">
        <v>636</v>
      </c>
      <c r="T213" s="10" t="str">
        <f t="shared" si="67"/>
        <v>TASCHENMESSER BLUE SPIDER,Accueil,Messer plus,Klappmesser,Haller,Haller</v>
      </c>
      <c r="U213" s="10" t="str">
        <f t="shared" si="68"/>
        <v>TASCHENMESSER BLUE SPIDER</v>
      </c>
      <c r="V213" s="10" t="str">
        <f t="shared" si="69"/>
        <v>TASCHENMESSER BLUE SPIDER,Accueil,Messer plus,Klappmesser,Haller,Haller</v>
      </c>
      <c r="W213" s="10">
        <v>1</v>
      </c>
      <c r="X213" s="10">
        <v>1</v>
      </c>
      <c r="Y213" s="17" t="str">
        <f t="shared" si="73"/>
        <v>http://usfh.ch/img/Messer/42511.jpg</v>
      </c>
      <c r="Z213" s="10">
        <f t="shared" si="70"/>
        <v>42511</v>
      </c>
      <c r="AA213" s="13">
        <f t="shared" si="71"/>
        <v>70</v>
      </c>
      <c r="AB213" s="13">
        <f t="shared" si="72"/>
        <v>19.899999999999999</v>
      </c>
      <c r="AC213" s="10">
        <v>0.5</v>
      </c>
    </row>
    <row r="214" spans="1:29" s="14" customFormat="1" ht="15" customHeight="1" x14ac:dyDescent="0.25">
      <c r="A214" s="10">
        <v>213</v>
      </c>
      <c r="B214" s="10"/>
      <c r="C214" s="10"/>
      <c r="D214" s="10"/>
      <c r="E214" s="10"/>
      <c r="F214" s="10">
        <v>2</v>
      </c>
      <c r="G214" s="11">
        <v>42933</v>
      </c>
      <c r="H214" s="10">
        <v>1</v>
      </c>
      <c r="I214" s="16" t="s">
        <v>637</v>
      </c>
      <c r="J214" s="10" t="s">
        <v>27</v>
      </c>
      <c r="K214" s="10"/>
      <c r="L214" s="9">
        <v>35</v>
      </c>
      <c r="M214" s="10">
        <v>53</v>
      </c>
      <c r="N214" s="9">
        <v>5.95</v>
      </c>
      <c r="O214" s="10">
        <f t="shared" si="74"/>
        <v>42933</v>
      </c>
      <c r="P214" s="10" t="s">
        <v>44</v>
      </c>
      <c r="Q214" s="10" t="s">
        <v>44</v>
      </c>
      <c r="R214" s="12"/>
      <c r="S214" s="16" t="s">
        <v>638</v>
      </c>
      <c r="T214" s="10" t="str">
        <f t="shared" si="67"/>
        <v>JUGEND-TASCHENMESSER MIT ABGERUNDETER KLINGENSPITZE,Accueil,Messer plus,Klappmesser,Haller,Haller</v>
      </c>
      <c r="U214" s="10" t="str">
        <f t="shared" si="68"/>
        <v>JUGEND-TASCHENMESSER MIT ABGERUNDETER KLINGENSPITZE</v>
      </c>
      <c r="V214" s="10" t="str">
        <f t="shared" si="69"/>
        <v>JUGEND-TASCHENMESSER MIT ABGERUNDETER KLINGENSPITZE,Accueil,Messer plus,Klappmesser,Haller,Haller</v>
      </c>
      <c r="W214" s="10">
        <v>1</v>
      </c>
      <c r="X214" s="10">
        <v>1</v>
      </c>
      <c r="Y214" s="17" t="str">
        <f t="shared" si="73"/>
        <v>http://usfh.ch/img/Messer/42933.jpg</v>
      </c>
      <c r="Z214" s="10">
        <f t="shared" si="70"/>
        <v>42933</v>
      </c>
      <c r="AA214" s="13">
        <f t="shared" si="71"/>
        <v>70</v>
      </c>
      <c r="AB214" s="13">
        <f t="shared" si="72"/>
        <v>11.9</v>
      </c>
      <c r="AC214" s="10">
        <v>0.5</v>
      </c>
    </row>
    <row r="215" spans="1:29" s="14" customFormat="1" ht="15" customHeight="1" x14ac:dyDescent="0.25">
      <c r="A215" s="10">
        <v>214</v>
      </c>
      <c r="B215" s="10"/>
      <c r="C215" s="10"/>
      <c r="D215" s="10"/>
      <c r="E215" s="10"/>
      <c r="F215" s="10">
        <v>2</v>
      </c>
      <c r="G215" s="11">
        <v>42934</v>
      </c>
      <c r="H215" s="10">
        <v>1</v>
      </c>
      <c r="I215" s="16" t="s">
        <v>639</v>
      </c>
      <c r="J215" s="10" t="s">
        <v>30</v>
      </c>
      <c r="K215" s="10"/>
      <c r="L215" s="9">
        <v>39</v>
      </c>
      <c r="M215" s="10">
        <v>53</v>
      </c>
      <c r="N215" s="9">
        <v>9.75</v>
      </c>
      <c r="O215" s="10">
        <f t="shared" si="74"/>
        <v>42934</v>
      </c>
      <c r="P215" s="10" t="s">
        <v>44</v>
      </c>
      <c r="Q215" s="10" t="s">
        <v>44</v>
      </c>
      <c r="R215" s="12"/>
      <c r="S215" s="16" t="s">
        <v>640</v>
      </c>
      <c r="T215" s="10" t="str">
        <f t="shared" si="67"/>
        <v>JUGENDMESSER "MEIN MESSER",Accueil,Messer plus,feste Klinge,Haller,Haller</v>
      </c>
      <c r="U215" s="10" t="str">
        <f t="shared" si="68"/>
        <v>JUGENDMESSER "MEIN MESSER"</v>
      </c>
      <c r="V215" s="10" t="str">
        <f t="shared" si="69"/>
        <v>JUGENDMESSER "MEIN MESSER",Accueil,Messer plus,feste Klinge,Haller,Haller</v>
      </c>
      <c r="W215" s="10">
        <v>1</v>
      </c>
      <c r="X215" s="10">
        <v>1</v>
      </c>
      <c r="Y215" s="17" t="str">
        <f t="shared" si="73"/>
        <v>http://usfh.ch/img/Messer/42934.jpg</v>
      </c>
      <c r="Z215" s="10">
        <f t="shared" si="70"/>
        <v>42934</v>
      </c>
      <c r="AA215" s="13">
        <f t="shared" si="71"/>
        <v>78</v>
      </c>
      <c r="AB215" s="13">
        <f t="shared" si="72"/>
        <v>19.5</v>
      </c>
      <c r="AC215" s="10">
        <v>0.5</v>
      </c>
    </row>
    <row r="216" spans="1:29" s="14" customFormat="1" ht="15" customHeight="1" x14ac:dyDescent="0.25">
      <c r="A216" s="10">
        <v>215</v>
      </c>
      <c r="B216" s="10"/>
      <c r="C216" s="10"/>
      <c r="D216" s="10"/>
      <c r="E216" s="10"/>
      <c r="F216" s="10">
        <v>2</v>
      </c>
      <c r="G216" s="11">
        <v>88222</v>
      </c>
      <c r="H216" s="10">
        <v>1</v>
      </c>
      <c r="I216" s="16" t="s">
        <v>641</v>
      </c>
      <c r="J216" s="10" t="s">
        <v>30</v>
      </c>
      <c r="K216" s="10"/>
      <c r="L216" s="9">
        <v>90</v>
      </c>
      <c r="M216" s="10">
        <v>53</v>
      </c>
      <c r="N216" s="9">
        <v>19.95</v>
      </c>
      <c r="O216" s="10">
        <f t="shared" si="74"/>
        <v>88222</v>
      </c>
      <c r="P216" s="10" t="s">
        <v>44</v>
      </c>
      <c r="Q216" s="10" t="s">
        <v>44</v>
      </c>
      <c r="R216" s="12"/>
      <c r="S216" s="16" t="s">
        <v>642</v>
      </c>
      <c r="T216" s="10" t="str">
        <f t="shared" si="67"/>
        <v>BLACKFIELD P.I.K.E. 02,Accueil,Messer plus,feste Klinge,Haller,Haller</v>
      </c>
      <c r="U216" s="10" t="str">
        <f t="shared" si="68"/>
        <v>BLACKFIELD P.I.K.E. 02</v>
      </c>
      <c r="V216" s="10" t="str">
        <f t="shared" si="69"/>
        <v>BLACKFIELD P.I.K.E. 02,Accueil,Messer plus,feste Klinge,Haller,Haller</v>
      </c>
      <c r="W216" s="10">
        <v>1</v>
      </c>
      <c r="X216" s="10">
        <v>1</v>
      </c>
      <c r="Y216" s="17" t="str">
        <f t="shared" si="73"/>
        <v>http://usfh.ch/img/Messer/88222.jpg</v>
      </c>
      <c r="Z216" s="10">
        <f t="shared" si="70"/>
        <v>88222</v>
      </c>
      <c r="AA216" s="13">
        <f t="shared" si="71"/>
        <v>180</v>
      </c>
      <c r="AB216" s="13">
        <f t="shared" si="72"/>
        <v>39.9</v>
      </c>
      <c r="AC216" s="10">
        <v>0.5</v>
      </c>
    </row>
    <row r="217" spans="1:29" s="14" customFormat="1" ht="15" customHeight="1" x14ac:dyDescent="0.25">
      <c r="A217" s="10">
        <v>216</v>
      </c>
      <c r="B217" s="10"/>
      <c r="C217" s="10"/>
      <c r="D217" s="10"/>
      <c r="E217" s="10"/>
      <c r="F217" s="10">
        <v>2</v>
      </c>
      <c r="G217" s="11" t="s">
        <v>643</v>
      </c>
      <c r="H217" s="10">
        <v>1</v>
      </c>
      <c r="I217" s="16" t="s">
        <v>644</v>
      </c>
      <c r="J217" s="10" t="s">
        <v>27</v>
      </c>
      <c r="K217" s="10"/>
      <c r="L217" s="9">
        <v>59</v>
      </c>
      <c r="M217" s="10">
        <v>53</v>
      </c>
      <c r="N217" s="9">
        <v>21.5</v>
      </c>
      <c r="O217" s="10" t="str">
        <f t="shared" si="74"/>
        <v>01RU059</v>
      </c>
      <c r="P217" s="10" t="s">
        <v>40</v>
      </c>
      <c r="Q217" s="10" t="s">
        <v>500</v>
      </c>
      <c r="R217" s="12"/>
      <c r="S217" s="16" t="s">
        <v>645</v>
      </c>
      <c r="T217" s="10" t="str">
        <f t="shared" si="67"/>
        <v>Tokisu Folder 18448,Accueil,Messer plus,Klappmesser,Böker,K25</v>
      </c>
      <c r="U217" s="10" t="str">
        <f t="shared" si="68"/>
        <v>Tokisu Folder 18448</v>
      </c>
      <c r="V217" s="10" t="str">
        <f t="shared" si="69"/>
        <v>Tokisu Folder 18448,Accueil,Messer plus,Klappmesser,Böker,K25</v>
      </c>
      <c r="W217" s="10">
        <v>1</v>
      </c>
      <c r="X217" s="10">
        <v>1</v>
      </c>
      <c r="Y217" s="17" t="str">
        <f t="shared" si="73"/>
        <v>http://usfh.ch/img/Messer/01RU059.jpg</v>
      </c>
      <c r="Z217" s="10" t="str">
        <f t="shared" si="70"/>
        <v>01RU059</v>
      </c>
      <c r="AA217" s="13">
        <f t="shared" si="71"/>
        <v>118</v>
      </c>
      <c r="AB217" s="13">
        <f t="shared" si="72"/>
        <v>43</v>
      </c>
      <c r="AC217" s="10">
        <v>0.5</v>
      </c>
    </row>
    <row r="218" spans="1:29" s="14" customFormat="1" ht="15" customHeight="1" x14ac:dyDescent="0.25">
      <c r="A218" s="10">
        <v>217</v>
      </c>
      <c r="B218" s="10"/>
      <c r="C218" s="10"/>
      <c r="D218" s="10"/>
      <c r="E218" s="10"/>
      <c r="F218" s="10">
        <v>7</v>
      </c>
      <c r="G218" s="11">
        <v>84727</v>
      </c>
      <c r="H218" s="10">
        <v>1</v>
      </c>
      <c r="I218" s="16" t="s">
        <v>634</v>
      </c>
      <c r="J218" s="10" t="s">
        <v>27</v>
      </c>
      <c r="K218" s="10"/>
      <c r="L218" s="9">
        <v>19</v>
      </c>
      <c r="M218" s="10">
        <v>53</v>
      </c>
      <c r="N218" s="9">
        <v>3.9</v>
      </c>
      <c r="O218" s="10">
        <f t="shared" si="74"/>
        <v>84727</v>
      </c>
      <c r="P218" s="10" t="s">
        <v>44</v>
      </c>
      <c r="Q218" s="10" t="s">
        <v>44</v>
      </c>
      <c r="R218" s="12"/>
      <c r="S218" s="16" t="s">
        <v>646</v>
      </c>
      <c r="T218" s="10" t="str">
        <f t="shared" si="67"/>
        <v>TASCHENMESSERBOX 9 TLG.,Accueil,Messer plus,Klappmesser,Haller,Haller</v>
      </c>
      <c r="U218" s="10" t="str">
        <f t="shared" si="68"/>
        <v>TASCHENMESSERBOX 9 TLG.</v>
      </c>
      <c r="V218" s="10" t="str">
        <f t="shared" si="69"/>
        <v>TASCHENMESSERBOX 9 TLG.,Accueil,Messer plus,Klappmesser,Haller,Haller</v>
      </c>
      <c r="W218" s="10">
        <v>1</v>
      </c>
      <c r="X218" s="10">
        <v>1</v>
      </c>
      <c r="Y218" s="17" t="str">
        <f t="shared" ref="Y218:Y242" si="75" xml:space="preserve"> "http://usfh.ch/img/Messer/" &amp; G218 &amp; ".jpg"</f>
        <v>http://usfh.ch/img/Messer/84727.jpg</v>
      </c>
      <c r="Z218" s="10">
        <f t="shared" si="70"/>
        <v>84727</v>
      </c>
      <c r="AA218" s="13">
        <f t="shared" si="71"/>
        <v>133</v>
      </c>
      <c r="AB218" s="13">
        <f t="shared" si="72"/>
        <v>27.3</v>
      </c>
      <c r="AC218" s="10">
        <v>0.5</v>
      </c>
    </row>
    <row r="219" spans="1:29" s="14" customFormat="1" ht="15" customHeight="1" x14ac:dyDescent="0.25">
      <c r="A219" s="10">
        <v>218</v>
      </c>
      <c r="B219" s="10"/>
      <c r="C219" s="10"/>
      <c r="D219" s="10"/>
      <c r="E219" s="10"/>
      <c r="F219" s="10">
        <v>2</v>
      </c>
      <c r="G219" s="11">
        <v>42973</v>
      </c>
      <c r="H219" s="10">
        <v>1</v>
      </c>
      <c r="I219" s="16" t="s">
        <v>647</v>
      </c>
      <c r="J219" s="10" t="s">
        <v>27</v>
      </c>
      <c r="K219" s="10"/>
      <c r="L219" s="9">
        <v>129</v>
      </c>
      <c r="M219" s="10">
        <v>53</v>
      </c>
      <c r="N219" s="9">
        <v>39.9</v>
      </c>
      <c r="O219" s="10">
        <f t="shared" si="74"/>
        <v>42973</v>
      </c>
      <c r="P219" s="10" t="s">
        <v>44</v>
      </c>
      <c r="Q219" s="10" t="s">
        <v>44</v>
      </c>
      <c r="R219" s="12"/>
      <c r="S219" s="16" t="s">
        <v>648</v>
      </c>
      <c r="T219" s="10" t="str">
        <f t="shared" si="67"/>
        <v>DAMAST-TASCHENMESSER MIT GRIFFBESCHALUNG AUS BÜFFELHORN,Accueil,Messer plus,Klappmesser,Haller,Haller</v>
      </c>
      <c r="U219" s="10" t="str">
        <f t="shared" si="68"/>
        <v>DAMAST-TASCHENMESSER MIT GRIFFBESCHALUNG AUS BÜFFELHORN</v>
      </c>
      <c r="V219" s="10" t="str">
        <f t="shared" si="69"/>
        <v>DAMAST-TASCHENMESSER MIT GRIFFBESCHALUNG AUS BÜFFELHORN,Accueil,Messer plus,Klappmesser,Haller,Haller</v>
      </c>
      <c r="W219" s="10">
        <v>1</v>
      </c>
      <c r="X219" s="10">
        <v>1</v>
      </c>
      <c r="Y219" s="17" t="str">
        <f t="shared" si="75"/>
        <v>http://usfh.ch/img/Messer/42973.jpg</v>
      </c>
      <c r="Z219" s="10">
        <f t="shared" si="70"/>
        <v>42973</v>
      </c>
      <c r="AA219" s="13">
        <f t="shared" si="71"/>
        <v>258</v>
      </c>
      <c r="AB219" s="13">
        <f t="shared" si="72"/>
        <v>79.8</v>
      </c>
      <c r="AC219" s="10">
        <v>0.5</v>
      </c>
    </row>
    <row r="220" spans="1:29" s="14" customFormat="1" ht="15" customHeight="1" x14ac:dyDescent="0.25">
      <c r="A220" s="10">
        <v>219</v>
      </c>
      <c r="B220" s="10"/>
      <c r="C220" s="10"/>
      <c r="D220" s="10"/>
      <c r="E220" s="10"/>
      <c r="F220" s="10">
        <v>1</v>
      </c>
      <c r="G220" s="11">
        <v>42986</v>
      </c>
      <c r="H220" s="10">
        <v>1</v>
      </c>
      <c r="I220" s="16" t="s">
        <v>649</v>
      </c>
      <c r="J220" s="10" t="s">
        <v>27</v>
      </c>
      <c r="K220" s="10"/>
      <c r="L220" s="9">
        <v>149</v>
      </c>
      <c r="M220" s="10">
        <v>53</v>
      </c>
      <c r="N220" s="9">
        <v>57.95</v>
      </c>
      <c r="O220" s="10">
        <f t="shared" si="74"/>
        <v>42986</v>
      </c>
      <c r="P220" s="10" t="s">
        <v>44</v>
      </c>
      <c r="Q220" s="10" t="s">
        <v>44</v>
      </c>
      <c r="R220" s="12"/>
      <c r="S220" s="16" t="s">
        <v>650</v>
      </c>
      <c r="T220" s="10" t="str">
        <f t="shared" si="67"/>
        <v>DAMAST -TASCHENMESSER MIT HIRSCHHORNGRIFF,Accueil,Messer plus,Klappmesser,Haller,Haller</v>
      </c>
      <c r="U220" s="10" t="str">
        <f t="shared" si="68"/>
        <v>DAMAST -TASCHENMESSER MIT HIRSCHHORNGRIFF</v>
      </c>
      <c r="V220" s="10" t="str">
        <f t="shared" si="69"/>
        <v>DAMAST -TASCHENMESSER MIT HIRSCHHORNGRIFF,Accueil,Messer plus,Klappmesser,Haller,Haller</v>
      </c>
      <c r="W220" s="10">
        <v>1</v>
      </c>
      <c r="X220" s="10">
        <v>1</v>
      </c>
      <c r="Y220" s="17" t="str">
        <f t="shared" si="75"/>
        <v>http://usfh.ch/img/Messer/42986.jpg</v>
      </c>
      <c r="Z220" s="10">
        <f t="shared" si="70"/>
        <v>42986</v>
      </c>
      <c r="AA220" s="13">
        <f t="shared" si="71"/>
        <v>149</v>
      </c>
      <c r="AB220" s="13">
        <f t="shared" si="72"/>
        <v>57.95</v>
      </c>
      <c r="AC220" s="10">
        <v>0.5</v>
      </c>
    </row>
    <row r="221" spans="1:29" s="14" customFormat="1" ht="15" customHeight="1" x14ac:dyDescent="0.25">
      <c r="A221" s="10">
        <v>220</v>
      </c>
      <c r="B221" s="10"/>
      <c r="C221" s="10"/>
      <c r="D221" s="10"/>
      <c r="E221" s="10"/>
      <c r="F221" s="10">
        <v>1</v>
      </c>
      <c r="G221" s="11">
        <v>83110</v>
      </c>
      <c r="H221" s="10">
        <v>1</v>
      </c>
      <c r="I221" s="16" t="s">
        <v>651</v>
      </c>
      <c r="J221" s="10" t="s">
        <v>27</v>
      </c>
      <c r="K221" s="10"/>
      <c r="L221" s="9">
        <v>149</v>
      </c>
      <c r="M221" s="10">
        <v>53</v>
      </c>
      <c r="N221" s="9">
        <v>49.9</v>
      </c>
      <c r="O221" s="10">
        <f t="shared" si="74"/>
        <v>83110</v>
      </c>
      <c r="P221" s="10" t="s">
        <v>44</v>
      </c>
      <c r="Q221" s="10" t="s">
        <v>44</v>
      </c>
      <c r="R221" s="12"/>
      <c r="S221" s="16" t="s">
        <v>652</v>
      </c>
      <c r="T221" s="10" t="str">
        <f t="shared" si="67"/>
        <v>DAMAST TASCHENMESSER HIRSCHHORN,Accueil,Messer plus,Klappmesser,Haller,Haller</v>
      </c>
      <c r="U221" s="10" t="str">
        <f t="shared" si="68"/>
        <v>DAMAST TASCHENMESSER HIRSCHHORN</v>
      </c>
      <c r="V221" s="10" t="str">
        <f t="shared" si="69"/>
        <v>DAMAST TASCHENMESSER HIRSCHHORN,Accueil,Messer plus,Klappmesser,Haller,Haller</v>
      </c>
      <c r="W221" s="10">
        <v>1</v>
      </c>
      <c r="X221" s="10">
        <v>1</v>
      </c>
      <c r="Y221" s="17" t="str">
        <f t="shared" si="75"/>
        <v>http://usfh.ch/img/Messer/83110.jpg</v>
      </c>
      <c r="Z221" s="10">
        <f t="shared" si="70"/>
        <v>83110</v>
      </c>
      <c r="AA221" s="13">
        <f t="shared" si="71"/>
        <v>149</v>
      </c>
      <c r="AB221" s="13">
        <f t="shared" si="72"/>
        <v>49.9</v>
      </c>
      <c r="AC221" s="10">
        <v>0.5</v>
      </c>
    </row>
    <row r="222" spans="1:29" s="14" customFormat="1" ht="15" customHeight="1" x14ac:dyDescent="0.25">
      <c r="A222" s="10">
        <v>221</v>
      </c>
      <c r="B222" s="10"/>
      <c r="C222" s="10"/>
      <c r="D222" s="10"/>
      <c r="E222" s="10"/>
      <c r="F222" s="10">
        <v>1</v>
      </c>
      <c r="G222" s="11">
        <v>83111</v>
      </c>
      <c r="H222" s="10">
        <v>1</v>
      </c>
      <c r="I222" s="16" t="s">
        <v>653</v>
      </c>
      <c r="J222" s="10" t="s">
        <v>27</v>
      </c>
      <c r="K222" s="10"/>
      <c r="L222" s="9">
        <v>139</v>
      </c>
      <c r="M222" s="10">
        <v>53</v>
      </c>
      <c r="N222" s="9">
        <v>42.95</v>
      </c>
      <c r="O222" s="10">
        <f t="shared" si="74"/>
        <v>83111</v>
      </c>
      <c r="P222" s="10" t="s">
        <v>44</v>
      </c>
      <c r="Q222" s="10" t="s">
        <v>44</v>
      </c>
      <c r="R222" s="12"/>
      <c r="S222" s="16" t="s">
        <v>654</v>
      </c>
      <c r="T222" s="10" t="str">
        <f t="shared" si="67"/>
        <v xml:space="preserve">	
DAMAST-TASCHENMESSER OLIVENHOLZ,Accueil,Messer plus,Klappmesser,Haller,Haller</v>
      </c>
      <c r="U222" s="10" t="str">
        <f t="shared" si="68"/>
        <v xml:space="preserve">	
DAMAST-TASCHENMESSER OLIVENHOLZ</v>
      </c>
      <c r="V222" s="10" t="str">
        <f t="shared" si="69"/>
        <v xml:space="preserve">	
DAMAST-TASCHENMESSER OLIVENHOLZ,Accueil,Messer plus,Klappmesser,Haller,Haller</v>
      </c>
      <c r="W222" s="10">
        <v>1</v>
      </c>
      <c r="X222" s="10">
        <v>1</v>
      </c>
      <c r="Y222" s="17" t="str">
        <f t="shared" si="75"/>
        <v>http://usfh.ch/img/Messer/83111.jpg</v>
      </c>
      <c r="Z222" s="10">
        <f t="shared" si="70"/>
        <v>83111</v>
      </c>
      <c r="AA222" s="13">
        <f t="shared" si="71"/>
        <v>139</v>
      </c>
      <c r="AB222" s="13">
        <f t="shared" si="72"/>
        <v>42.95</v>
      </c>
      <c r="AC222" s="10">
        <v>0.5</v>
      </c>
    </row>
    <row r="223" spans="1:29" s="14" customFormat="1" ht="15" customHeight="1" x14ac:dyDescent="0.25">
      <c r="A223" s="10">
        <v>222</v>
      </c>
      <c r="B223" s="10"/>
      <c r="C223" s="10"/>
      <c r="D223" s="10"/>
      <c r="E223" s="10"/>
      <c r="F223" s="10">
        <v>1</v>
      </c>
      <c r="G223" s="11" t="s">
        <v>655</v>
      </c>
      <c r="H223" s="10">
        <v>1</v>
      </c>
      <c r="I223" s="16" t="s">
        <v>656</v>
      </c>
      <c r="J223" s="10" t="s">
        <v>27</v>
      </c>
      <c r="K223" s="10"/>
      <c r="L223" s="9">
        <v>61</v>
      </c>
      <c r="M223" s="10">
        <v>53</v>
      </c>
      <c r="N223" s="9">
        <v>24</v>
      </c>
      <c r="O223" s="10" t="str">
        <f t="shared" si="74"/>
        <v xml:space="preserve">	BY03PSBK2</v>
      </c>
      <c r="P223" s="10" t="s">
        <v>119</v>
      </c>
      <c r="Q223" s="10" t="s">
        <v>211</v>
      </c>
      <c r="R223" s="12"/>
      <c r="S223" s="16" t="s">
        <v>609</v>
      </c>
      <c r="T223" s="10" t="str">
        <f t="shared" si="67"/>
        <v>BYRD CARA CARA 2 LIGHTWEIGHT TEILWELLE,Accueil,Messer plus,Klappmesser,Klötzli,Spyderco</v>
      </c>
      <c r="U223" s="10" t="str">
        <f t="shared" si="68"/>
        <v>BYRD CARA CARA 2 LIGHTWEIGHT TEILWELLE</v>
      </c>
      <c r="V223" s="10" t="str">
        <f t="shared" si="69"/>
        <v>BYRD CARA CARA 2 LIGHTWEIGHT TEILWELLE,Accueil,Messer plus,Klappmesser,Klötzli,Spyderco</v>
      </c>
      <c r="W223" s="10">
        <v>1</v>
      </c>
      <c r="X223" s="10">
        <v>1</v>
      </c>
      <c r="Y223" s="17" t="str">
        <f t="shared" si="75"/>
        <v>http://usfh.ch/img/Messer/	BY03PSBK2.jpg</v>
      </c>
      <c r="Z223" s="10" t="str">
        <f t="shared" si="70"/>
        <v xml:space="preserve">	BY03PSBK2</v>
      </c>
      <c r="AA223" s="13">
        <f t="shared" si="71"/>
        <v>61</v>
      </c>
      <c r="AB223" s="13">
        <f t="shared" si="72"/>
        <v>24</v>
      </c>
      <c r="AC223" s="10">
        <v>0.5</v>
      </c>
    </row>
    <row r="224" spans="1:29" s="14" customFormat="1" ht="15" customHeight="1" x14ac:dyDescent="0.25">
      <c r="A224" s="10">
        <v>223</v>
      </c>
      <c r="B224" s="10"/>
      <c r="C224" s="10"/>
      <c r="D224" s="10"/>
      <c r="E224" s="10"/>
      <c r="F224" s="10">
        <v>1</v>
      </c>
      <c r="G224" s="11" t="s">
        <v>657</v>
      </c>
      <c r="H224" s="10">
        <v>1</v>
      </c>
      <c r="I224" s="16" t="s">
        <v>658</v>
      </c>
      <c r="J224" s="10" t="s">
        <v>27</v>
      </c>
      <c r="K224" s="10"/>
      <c r="L224" s="9">
        <v>68</v>
      </c>
      <c r="M224" s="10">
        <v>53</v>
      </c>
      <c r="N224" s="9">
        <v>34</v>
      </c>
      <c r="O224" s="10" t="str">
        <f t="shared" si="74"/>
        <v>SOG-PP1001-CP</v>
      </c>
      <c r="P224" s="10" t="s">
        <v>119</v>
      </c>
      <c r="Q224" s="10" t="s">
        <v>120</v>
      </c>
      <c r="R224" s="12"/>
      <c r="S224" s="16" t="s">
        <v>659</v>
      </c>
      <c r="T224" s="10" t="str">
        <f t="shared" si="67"/>
        <v>POWER PINT,Accueil,Messer plus,Klappmesser,Klötzli,SOG</v>
      </c>
      <c r="U224" s="10" t="str">
        <f t="shared" si="68"/>
        <v>POWER PINT</v>
      </c>
      <c r="V224" s="10" t="str">
        <f t="shared" si="69"/>
        <v>POWER PINT,Accueil,Messer plus,Klappmesser,Klötzli,SOG</v>
      </c>
      <c r="W224" s="10">
        <v>1</v>
      </c>
      <c r="X224" s="10">
        <v>1</v>
      </c>
      <c r="Y224" s="17" t="str">
        <f t="shared" si="75"/>
        <v>http://usfh.ch/img/Messer/SOG-PP1001-CP.jpg</v>
      </c>
      <c r="Z224" s="10" t="str">
        <f t="shared" si="70"/>
        <v>SOG-PP1001-CP</v>
      </c>
      <c r="AA224" s="13">
        <f t="shared" si="71"/>
        <v>68</v>
      </c>
      <c r="AB224" s="13">
        <f t="shared" si="72"/>
        <v>34</v>
      </c>
      <c r="AC224" s="10">
        <v>0.5</v>
      </c>
    </row>
    <row r="225" spans="1:29" s="14" customFormat="1" ht="15" customHeight="1" x14ac:dyDescent="0.25">
      <c r="A225" s="10">
        <v>224</v>
      </c>
      <c r="B225" s="10"/>
      <c r="C225" s="10"/>
      <c r="D225" s="10"/>
      <c r="E225" s="10"/>
      <c r="F225" s="10">
        <v>1</v>
      </c>
      <c r="G225" s="11" t="s">
        <v>660</v>
      </c>
      <c r="H225" s="10">
        <v>1</v>
      </c>
      <c r="I225" s="16" t="s">
        <v>661</v>
      </c>
      <c r="J225" s="10" t="s">
        <v>27</v>
      </c>
      <c r="K225" s="10"/>
      <c r="L225" s="9">
        <v>107</v>
      </c>
      <c r="M225" s="10">
        <v>53</v>
      </c>
      <c r="N225" s="9">
        <v>53.5</v>
      </c>
      <c r="O225" s="10" t="str">
        <f t="shared" si="74"/>
        <v>SOG-PA2001-CP</v>
      </c>
      <c r="P225" s="10" t="s">
        <v>119</v>
      </c>
      <c r="Q225" s="10" t="s">
        <v>120</v>
      </c>
      <c r="R225" s="12"/>
      <c r="S225" s="16" t="s">
        <v>662</v>
      </c>
      <c r="T225" s="10" t="str">
        <f t="shared" si="67"/>
        <v>POWER ACCESS DELUXE - SILVER,Accueil,Messer plus,Klappmesser,Klötzli,SOG</v>
      </c>
      <c r="U225" s="10" t="str">
        <f t="shared" si="68"/>
        <v>POWER ACCESS DELUXE - SILVER</v>
      </c>
      <c r="V225" s="10" t="str">
        <f t="shared" si="69"/>
        <v>POWER ACCESS DELUXE - SILVER,Accueil,Messer plus,Klappmesser,Klötzli,SOG</v>
      </c>
      <c r="W225" s="10">
        <v>1</v>
      </c>
      <c r="X225" s="10">
        <v>1</v>
      </c>
      <c r="Y225" s="17" t="str">
        <f t="shared" si="75"/>
        <v>http://usfh.ch/img/Messer/SOG-PA2001-CP.jpg</v>
      </c>
      <c r="Z225" s="10" t="str">
        <f t="shared" si="70"/>
        <v>SOG-PA2001-CP</v>
      </c>
      <c r="AA225" s="13">
        <f t="shared" si="71"/>
        <v>107</v>
      </c>
      <c r="AB225" s="13">
        <f t="shared" si="72"/>
        <v>53.5</v>
      </c>
      <c r="AC225" s="10">
        <v>0.5</v>
      </c>
    </row>
    <row r="226" spans="1:29" s="14" customFormat="1" ht="15" customHeight="1" x14ac:dyDescent="0.25">
      <c r="A226" s="10">
        <v>225</v>
      </c>
      <c r="B226" s="10"/>
      <c r="C226" s="10"/>
      <c r="D226" s="10"/>
      <c r="E226" s="10"/>
      <c r="F226" s="10">
        <v>1</v>
      </c>
      <c r="G226" s="11" t="s">
        <v>663</v>
      </c>
      <c r="H226" s="10">
        <v>1</v>
      </c>
      <c r="I226" s="16" t="s">
        <v>664</v>
      </c>
      <c r="J226" s="10" t="s">
        <v>27</v>
      </c>
      <c r="K226" s="10"/>
      <c r="L226" s="9">
        <v>87</v>
      </c>
      <c r="M226" s="10">
        <v>53</v>
      </c>
      <c r="N226" s="9">
        <v>43.5</v>
      </c>
      <c r="O226" s="10" t="str">
        <f t="shared" si="74"/>
        <v>SOG-PL1001-CP</v>
      </c>
      <c r="P226" s="10" t="s">
        <v>119</v>
      </c>
      <c r="Q226" s="10" t="s">
        <v>120</v>
      </c>
      <c r="R226" s="12"/>
      <c r="S226" s="16" t="s">
        <v>665</v>
      </c>
      <c r="T226" s="10" t="str">
        <f t="shared" si="67"/>
        <v>POWERLITRE,Accueil,Messer plus,Klappmesser,Klötzli,SOG</v>
      </c>
      <c r="U226" s="10" t="str">
        <f t="shared" si="68"/>
        <v>POWERLITRE</v>
      </c>
      <c r="V226" s="10" t="str">
        <f t="shared" si="69"/>
        <v>POWERLITRE,Accueil,Messer plus,Klappmesser,Klötzli,SOG</v>
      </c>
      <c r="W226" s="10">
        <v>1</v>
      </c>
      <c r="X226" s="10">
        <v>1</v>
      </c>
      <c r="Y226" s="17" t="str">
        <f t="shared" si="75"/>
        <v>http://usfh.ch/img/Messer/SOG-PL1001-CP.jpg</v>
      </c>
      <c r="Z226" s="10" t="str">
        <f t="shared" si="70"/>
        <v>SOG-PL1001-CP</v>
      </c>
      <c r="AA226" s="13">
        <f t="shared" si="71"/>
        <v>87</v>
      </c>
      <c r="AB226" s="13">
        <f t="shared" si="72"/>
        <v>43.5</v>
      </c>
      <c r="AC226" s="10">
        <v>0.5</v>
      </c>
    </row>
    <row r="227" spans="1:29" s="14" customFormat="1" ht="15" customHeight="1" x14ac:dyDescent="0.25">
      <c r="A227" s="10">
        <v>226</v>
      </c>
      <c r="B227" s="10"/>
      <c r="C227" s="10"/>
      <c r="D227" s="10"/>
      <c r="E227" s="10"/>
      <c r="F227" s="10">
        <v>1</v>
      </c>
      <c r="G227" s="11" t="s">
        <v>666</v>
      </c>
      <c r="H227" s="10">
        <v>1</v>
      </c>
      <c r="I227" s="16" t="s">
        <v>667</v>
      </c>
      <c r="J227" s="10" t="s">
        <v>27</v>
      </c>
      <c r="K227" s="10"/>
      <c r="L227" s="9">
        <v>89</v>
      </c>
      <c r="M227" s="10">
        <v>53</v>
      </c>
      <c r="N227" s="9">
        <v>35.799999999999997</v>
      </c>
      <c r="O227" s="10" t="str">
        <f t="shared" si="74"/>
        <v>01MB049DAM</v>
      </c>
      <c r="P227" s="10" t="s">
        <v>40</v>
      </c>
      <c r="Q227" s="10" t="s">
        <v>41</v>
      </c>
      <c r="R227" s="12"/>
      <c r="S227" s="16" t="s">
        <v>668</v>
      </c>
      <c r="T227" s="10" t="str">
        <f t="shared" si="67"/>
        <v>Magnum Damascus Countess,Accueil,Messer plus,Klappmesser,Böker,Magnum</v>
      </c>
      <c r="U227" s="10" t="str">
        <f t="shared" si="68"/>
        <v>Magnum Damascus Countess</v>
      </c>
      <c r="V227" s="10" t="str">
        <f t="shared" si="69"/>
        <v>Magnum Damascus Countess,Accueil,Messer plus,Klappmesser,Böker,Magnum</v>
      </c>
      <c r="W227" s="10">
        <v>1</v>
      </c>
      <c r="X227" s="10">
        <v>1</v>
      </c>
      <c r="Y227" s="17" t="str">
        <f t="shared" si="75"/>
        <v>http://usfh.ch/img/Messer/01MB049DAM.jpg</v>
      </c>
      <c r="Z227" s="10" t="str">
        <f t="shared" si="70"/>
        <v>01MB049DAM</v>
      </c>
      <c r="AA227" s="13">
        <f t="shared" si="71"/>
        <v>89</v>
      </c>
      <c r="AB227" s="13">
        <f t="shared" si="72"/>
        <v>35.799999999999997</v>
      </c>
      <c r="AC227" s="10">
        <v>0.5</v>
      </c>
    </row>
    <row r="228" spans="1:29" s="14" customFormat="1" ht="15" customHeight="1" x14ac:dyDescent="0.25">
      <c r="A228" s="10">
        <v>227</v>
      </c>
      <c r="B228" s="10"/>
      <c r="C228" s="10"/>
      <c r="D228" s="10"/>
      <c r="E228" s="10"/>
      <c r="F228" s="10">
        <v>0</v>
      </c>
      <c r="G228" s="11" t="s">
        <v>669</v>
      </c>
      <c r="H228" s="10">
        <v>1</v>
      </c>
      <c r="I228" s="16" t="s">
        <v>670</v>
      </c>
      <c r="J228" s="10" t="s">
        <v>27</v>
      </c>
      <c r="K228" s="10"/>
      <c r="L228" s="9">
        <v>95</v>
      </c>
      <c r="M228" s="10">
        <v>53</v>
      </c>
      <c r="N228" s="9">
        <v>39.979999999999997</v>
      </c>
      <c r="O228" s="10" t="str">
        <f t="shared" si="74"/>
        <v>01MB171DAM</v>
      </c>
      <c r="P228" s="10" t="s">
        <v>40</v>
      </c>
      <c r="Q228" s="10" t="s">
        <v>41</v>
      </c>
      <c r="R228" s="12"/>
      <c r="S228" s="16" t="s">
        <v>671</v>
      </c>
      <c r="T228" s="10" t="str">
        <f t="shared" si="67"/>
        <v>Magnum Damascus Mistress,Accueil,Messer plus,Klappmesser,Böker,Magnum</v>
      </c>
      <c r="U228" s="10" t="str">
        <f t="shared" si="68"/>
        <v>Magnum Damascus Mistress</v>
      </c>
      <c r="V228" s="10" t="str">
        <f t="shared" si="69"/>
        <v>Magnum Damascus Mistress,Accueil,Messer plus,Klappmesser,Böker,Magnum</v>
      </c>
      <c r="W228" s="10">
        <v>1</v>
      </c>
      <c r="X228" s="10">
        <v>1</v>
      </c>
      <c r="Y228" s="17" t="str">
        <f t="shared" si="75"/>
        <v>http://usfh.ch/img/Messer/01MB171DAM.jpg</v>
      </c>
      <c r="Z228" s="10" t="str">
        <f t="shared" si="70"/>
        <v>01MB171DAM</v>
      </c>
      <c r="AA228" s="13">
        <f t="shared" si="71"/>
        <v>0</v>
      </c>
      <c r="AB228" s="13">
        <f t="shared" si="72"/>
        <v>0</v>
      </c>
      <c r="AC228" s="10">
        <v>0.5</v>
      </c>
    </row>
    <row r="229" spans="1:29" s="14" customFormat="1" ht="15" customHeight="1" x14ac:dyDescent="0.25">
      <c r="A229" s="10">
        <v>228</v>
      </c>
      <c r="B229" s="10"/>
      <c r="C229" s="10"/>
      <c r="D229" s="10"/>
      <c r="E229" s="10"/>
      <c r="F229" s="10">
        <v>1</v>
      </c>
      <c r="G229" s="11" t="s">
        <v>672</v>
      </c>
      <c r="H229" s="10">
        <v>1</v>
      </c>
      <c r="I229" s="16" t="s">
        <v>673</v>
      </c>
      <c r="J229" s="10" t="s">
        <v>27</v>
      </c>
      <c r="K229" s="10"/>
      <c r="L229" s="9">
        <v>89</v>
      </c>
      <c r="M229" s="10">
        <v>53</v>
      </c>
      <c r="N229" s="9">
        <v>33.15</v>
      </c>
      <c r="O229" s="10" t="str">
        <f t="shared" si="74"/>
        <v>01RY818DAM</v>
      </c>
      <c r="P229" s="10" t="s">
        <v>40</v>
      </c>
      <c r="Q229" s="10" t="s">
        <v>41</v>
      </c>
      <c r="R229" s="12"/>
      <c r="S229" s="16" t="s">
        <v>674</v>
      </c>
      <c r="T229" s="10" t="str">
        <f t="shared" si="67"/>
        <v>Magnum Caveman Damast,Accueil,Messer plus,Klappmesser,Böker,Magnum</v>
      </c>
      <c r="U229" s="10" t="str">
        <f t="shared" si="68"/>
        <v>Magnum Caveman Damast</v>
      </c>
      <c r="V229" s="10" t="str">
        <f t="shared" si="69"/>
        <v>Magnum Caveman Damast,Accueil,Messer plus,Klappmesser,Böker,Magnum</v>
      </c>
      <c r="W229" s="10">
        <v>1</v>
      </c>
      <c r="X229" s="10">
        <v>1</v>
      </c>
      <c r="Y229" s="17" t="str">
        <f t="shared" si="75"/>
        <v>http://usfh.ch/img/Messer/01RY818DAM.jpg</v>
      </c>
      <c r="Z229" s="10" t="str">
        <f t="shared" si="70"/>
        <v>01RY818DAM</v>
      </c>
      <c r="AA229" s="13">
        <f t="shared" si="71"/>
        <v>89</v>
      </c>
      <c r="AB229" s="13">
        <f t="shared" si="72"/>
        <v>33.15</v>
      </c>
      <c r="AC229" s="10">
        <v>0.5</v>
      </c>
    </row>
    <row r="230" spans="1:29" s="14" customFormat="1" ht="15" customHeight="1" x14ac:dyDescent="0.25">
      <c r="A230" s="10">
        <v>229</v>
      </c>
      <c r="B230" s="10"/>
      <c r="C230" s="10"/>
      <c r="D230" s="10"/>
      <c r="E230" s="10"/>
      <c r="F230" s="10">
        <v>1</v>
      </c>
      <c r="G230" s="11" t="s">
        <v>675</v>
      </c>
      <c r="H230" s="10">
        <v>1</v>
      </c>
      <c r="I230" s="16" t="s">
        <v>676</v>
      </c>
      <c r="J230" s="10" t="s">
        <v>27</v>
      </c>
      <c r="K230" s="10"/>
      <c r="L230" s="9">
        <v>129</v>
      </c>
      <c r="M230" s="10">
        <v>53</v>
      </c>
      <c r="N230" s="9">
        <v>64.2</v>
      </c>
      <c r="O230" s="10" t="str">
        <f t="shared" si="74"/>
        <v>SOG-PA2002-CP</v>
      </c>
      <c r="P230" s="10" t="s">
        <v>119</v>
      </c>
      <c r="Q230" s="10" t="s">
        <v>120</v>
      </c>
      <c r="R230" s="12"/>
      <c r="S230" s="16" t="s">
        <v>677</v>
      </c>
      <c r="T230" s="10" t="str">
        <f t="shared" si="67"/>
        <v>POWER ACCESS DELUXE - BLACK,Accueil,Messer plus,Klappmesser,Klötzli,SOG</v>
      </c>
      <c r="U230" s="10" t="str">
        <f t="shared" si="68"/>
        <v>POWER ACCESS DELUXE - BLACK</v>
      </c>
      <c r="V230" s="10" t="str">
        <f t="shared" si="69"/>
        <v>POWER ACCESS DELUXE - BLACK,Accueil,Messer plus,Klappmesser,Klötzli,SOG</v>
      </c>
      <c r="W230" s="10">
        <v>1</v>
      </c>
      <c r="X230" s="10">
        <v>1</v>
      </c>
      <c r="Y230" s="17" t="str">
        <f t="shared" si="75"/>
        <v>http://usfh.ch/img/Messer/SOG-PA2002-CP.jpg</v>
      </c>
      <c r="Z230" s="10" t="str">
        <f t="shared" si="70"/>
        <v>SOG-PA2002-CP</v>
      </c>
      <c r="AA230" s="13">
        <f t="shared" si="71"/>
        <v>129</v>
      </c>
      <c r="AB230" s="13">
        <f t="shared" si="72"/>
        <v>64.2</v>
      </c>
      <c r="AC230" s="10">
        <v>0.5</v>
      </c>
    </row>
    <row r="231" spans="1:29" s="14" customFormat="1" ht="15" customHeight="1" x14ac:dyDescent="0.25">
      <c r="A231" s="10">
        <v>230</v>
      </c>
      <c r="B231" s="10"/>
      <c r="C231" s="10"/>
      <c r="D231" s="10"/>
      <c r="E231" s="10"/>
      <c r="F231" s="10">
        <v>2</v>
      </c>
      <c r="G231" s="11" t="s">
        <v>678</v>
      </c>
      <c r="H231" s="10">
        <v>1</v>
      </c>
      <c r="I231" s="16" t="s">
        <v>679</v>
      </c>
      <c r="J231" s="10" t="s">
        <v>27</v>
      </c>
      <c r="K231" s="10"/>
      <c r="L231" s="9">
        <v>49</v>
      </c>
      <c r="M231" s="10">
        <v>53</v>
      </c>
      <c r="N231" s="9">
        <v>14.48</v>
      </c>
      <c r="O231" s="10" t="str">
        <f t="shared" si="74"/>
        <v>01FX962</v>
      </c>
      <c r="P231" s="10" t="s">
        <v>40</v>
      </c>
      <c r="Q231" s="10" t="s">
        <v>680</v>
      </c>
      <c r="R231" s="12"/>
      <c r="S231" s="16" t="s">
        <v>681</v>
      </c>
      <c r="T231" s="10" t="str">
        <f t="shared" si="67"/>
        <v>FoxEdge Sparrow Aluminium Blue,Accueil,Messer plus,Klappmesser,Böker,FoxEdge</v>
      </c>
      <c r="U231" s="10" t="str">
        <f t="shared" si="68"/>
        <v>FoxEdge Sparrow Aluminium Blue</v>
      </c>
      <c r="V231" s="10" t="str">
        <f t="shared" si="69"/>
        <v>FoxEdge Sparrow Aluminium Blue,Accueil,Messer plus,Klappmesser,Böker,FoxEdge</v>
      </c>
      <c r="W231" s="10">
        <v>1</v>
      </c>
      <c r="X231" s="10">
        <v>1</v>
      </c>
      <c r="Y231" s="17" t="str">
        <f t="shared" si="75"/>
        <v>http://usfh.ch/img/Messer/01FX962.jpg</v>
      </c>
      <c r="Z231" s="10" t="str">
        <f t="shared" si="70"/>
        <v>01FX962</v>
      </c>
      <c r="AA231" s="13">
        <f t="shared" si="71"/>
        <v>98</v>
      </c>
      <c r="AB231" s="13">
        <f t="shared" si="72"/>
        <v>28.96</v>
      </c>
      <c r="AC231" s="10">
        <v>0.5</v>
      </c>
    </row>
    <row r="232" spans="1:29" s="14" customFormat="1" ht="15" customHeight="1" x14ac:dyDescent="0.25">
      <c r="A232" s="10">
        <v>231</v>
      </c>
      <c r="B232" s="10"/>
      <c r="C232" s="10"/>
      <c r="D232" s="10"/>
      <c r="E232" s="10"/>
      <c r="F232" s="10">
        <v>2</v>
      </c>
      <c r="G232" s="11" t="s">
        <v>682</v>
      </c>
      <c r="H232" s="10">
        <v>1</v>
      </c>
      <c r="I232" s="16" t="s">
        <v>683</v>
      </c>
      <c r="J232" s="10" t="s">
        <v>30</v>
      </c>
      <c r="K232" s="10"/>
      <c r="L232" s="9">
        <v>159</v>
      </c>
      <c r="M232" s="10">
        <v>53</v>
      </c>
      <c r="N232" s="9">
        <v>54.16</v>
      </c>
      <c r="O232" s="10" t="str">
        <f t="shared" si="74"/>
        <v>05ZS518</v>
      </c>
      <c r="P232" s="10" t="s">
        <v>40</v>
      </c>
      <c r="Q232" s="10" t="s">
        <v>40</v>
      </c>
      <c r="R232" s="12"/>
      <c r="S232" s="16" t="s">
        <v>684</v>
      </c>
      <c r="T232" s="10" t="str">
        <f t="shared" si="67"/>
        <v>Magnum Hattori Hanzo Set,Accueil,Messer plus,feste Klinge,Böker,Böker</v>
      </c>
      <c r="U232" s="10" t="str">
        <f t="shared" si="68"/>
        <v>Magnum Hattori Hanzo Set</v>
      </c>
      <c r="V232" s="10" t="str">
        <f t="shared" si="69"/>
        <v>Magnum Hattori Hanzo Set,Accueil,Messer plus,feste Klinge,Böker,Böker</v>
      </c>
      <c r="W232" s="10">
        <v>1</v>
      </c>
      <c r="X232" s="10">
        <v>1</v>
      </c>
      <c r="Y232" s="17" t="str">
        <f t="shared" si="75"/>
        <v>http://usfh.ch/img/Messer/05ZS518.jpg</v>
      </c>
      <c r="Z232" s="10" t="str">
        <f t="shared" si="70"/>
        <v>05ZS518</v>
      </c>
      <c r="AA232" s="13">
        <f t="shared" si="71"/>
        <v>318</v>
      </c>
      <c r="AB232" s="13">
        <f t="shared" si="72"/>
        <v>108.32</v>
      </c>
      <c r="AC232" s="10">
        <v>0.5</v>
      </c>
    </row>
    <row r="233" spans="1:29" s="14" customFormat="1" ht="15" customHeight="1" x14ac:dyDescent="0.25">
      <c r="A233" s="10">
        <v>232</v>
      </c>
      <c r="B233" s="10"/>
      <c r="C233" s="10"/>
      <c r="D233" s="10"/>
      <c r="E233" s="10"/>
      <c r="F233" s="10">
        <v>1</v>
      </c>
      <c r="G233" s="11" t="s">
        <v>685</v>
      </c>
      <c r="H233" s="10">
        <v>1</v>
      </c>
      <c r="I233" s="16" t="s">
        <v>686</v>
      </c>
      <c r="J233" s="10" t="s">
        <v>27</v>
      </c>
      <c r="K233" s="10"/>
      <c r="L233" s="9">
        <v>239</v>
      </c>
      <c r="M233" s="10">
        <v>53</v>
      </c>
      <c r="N233" s="9">
        <v>122</v>
      </c>
      <c r="O233" s="10" t="str">
        <f t="shared" si="74"/>
        <v xml:space="preserve"> CST-27BS</v>
      </c>
      <c r="P233" s="10" t="s">
        <v>467</v>
      </c>
      <c r="Q233" s="10" t="s">
        <v>467</v>
      </c>
      <c r="R233" s="12"/>
      <c r="S233" s="16" t="s">
        <v>687</v>
      </c>
      <c r="T233" s="10" t="str">
        <f t="shared" si="67"/>
        <v>TASCHENMESSER RECON 1 SPEAR PT., S35VN, SCHWARZ,Accueil,Messer plus,Klappmesser,ColdSteel,ColdSteel</v>
      </c>
      <c r="U233" s="10" t="str">
        <f t="shared" si="68"/>
        <v>TASCHENMESSER RECON 1 SPEAR PT., S35VN, SCHWARZ</v>
      </c>
      <c r="V233" s="10" t="str">
        <f t="shared" si="69"/>
        <v>TASCHENMESSER RECON 1 SPEAR PT., S35VN, SCHWARZ,Accueil,Messer plus,Klappmesser,ColdSteel,ColdSteel</v>
      </c>
      <c r="W233" s="10">
        <v>1</v>
      </c>
      <c r="X233" s="10">
        <v>1</v>
      </c>
      <c r="Y233" s="17" t="str">
        <f t="shared" si="75"/>
        <v>http://usfh.ch/img/Messer/ CST-27BS.jpg</v>
      </c>
      <c r="Z233" s="10" t="str">
        <f t="shared" si="70"/>
        <v xml:space="preserve"> CST-27BS</v>
      </c>
      <c r="AA233" s="13">
        <f t="shared" si="71"/>
        <v>239</v>
      </c>
      <c r="AB233" s="13">
        <f t="shared" si="72"/>
        <v>122</v>
      </c>
      <c r="AC233" s="10">
        <v>0.5</v>
      </c>
    </row>
    <row r="234" spans="1:29" s="14" customFormat="1" ht="15" customHeight="1" x14ac:dyDescent="0.25">
      <c r="A234" s="10">
        <v>233</v>
      </c>
      <c r="B234" s="10"/>
      <c r="C234" s="10"/>
      <c r="D234" s="10"/>
      <c r="E234" s="10"/>
      <c r="F234" s="10">
        <v>2</v>
      </c>
      <c r="G234" s="11">
        <v>88021</v>
      </c>
      <c r="H234" s="10">
        <v>1</v>
      </c>
      <c r="I234" s="16" t="s">
        <v>688</v>
      </c>
      <c r="J234" s="10" t="s">
        <v>27</v>
      </c>
      <c r="K234" s="10"/>
      <c r="L234" s="9">
        <v>49</v>
      </c>
      <c r="M234" s="10">
        <v>53</v>
      </c>
      <c r="N234" s="9">
        <v>12.95</v>
      </c>
      <c r="O234" s="10">
        <f t="shared" si="74"/>
        <v>88021</v>
      </c>
      <c r="P234" s="10" t="s">
        <v>44</v>
      </c>
      <c r="Q234" s="10" t="s">
        <v>209</v>
      </c>
      <c r="R234" s="12"/>
      <c r="S234" s="16" t="s">
        <v>689</v>
      </c>
      <c r="T234" s="10" t="str">
        <f t="shared" si="67"/>
        <v>BLACKFIELD BULLDOZER,Accueil,Messer plus,Klappmesser,Haller,Blackfield</v>
      </c>
      <c r="U234" s="10" t="str">
        <f t="shared" si="68"/>
        <v>BLACKFIELD BULLDOZER</v>
      </c>
      <c r="V234" s="10" t="str">
        <f t="shared" si="69"/>
        <v>BLACKFIELD BULLDOZER,Accueil,Messer plus,Klappmesser,Haller,Blackfield</v>
      </c>
      <c r="W234" s="10">
        <v>1</v>
      </c>
      <c r="X234" s="10">
        <v>1</v>
      </c>
      <c r="Y234" s="17" t="str">
        <f t="shared" si="75"/>
        <v>http://usfh.ch/img/Messer/88021.jpg</v>
      </c>
      <c r="Z234" s="10">
        <f t="shared" si="70"/>
        <v>88021</v>
      </c>
      <c r="AA234" s="13">
        <f t="shared" si="71"/>
        <v>98</v>
      </c>
      <c r="AB234" s="13">
        <f t="shared" si="72"/>
        <v>25.9</v>
      </c>
      <c r="AC234" s="10">
        <v>0.5</v>
      </c>
    </row>
    <row r="235" spans="1:29" s="14" customFormat="1" ht="15" customHeight="1" x14ac:dyDescent="0.25">
      <c r="A235" s="10">
        <v>234</v>
      </c>
      <c r="B235" s="10"/>
      <c r="C235" s="10"/>
      <c r="D235" s="10"/>
      <c r="E235" s="10"/>
      <c r="F235" s="10">
        <v>1</v>
      </c>
      <c r="G235" s="11">
        <v>81402</v>
      </c>
      <c r="H235" s="10">
        <v>1</v>
      </c>
      <c r="I235" s="16" t="s">
        <v>690</v>
      </c>
      <c r="J235" s="10" t="s">
        <v>30</v>
      </c>
      <c r="K235" s="10"/>
      <c r="L235" s="9">
        <v>99</v>
      </c>
      <c r="M235" s="10">
        <v>53</v>
      </c>
      <c r="N235" s="9">
        <v>19.95</v>
      </c>
      <c r="O235" s="10">
        <f t="shared" si="74"/>
        <v>81402</v>
      </c>
      <c r="P235" s="10" t="s">
        <v>44</v>
      </c>
      <c r="Q235" s="10" t="s">
        <v>44</v>
      </c>
      <c r="R235" s="12"/>
      <c r="S235" s="16" t="s">
        <v>691</v>
      </c>
      <c r="T235" s="10" t="str">
        <f t="shared" si="67"/>
        <v>Haller TEXAS BOWIE,Accueil,Messer plus,feste Klinge,Haller,Haller</v>
      </c>
      <c r="U235" s="10" t="str">
        <f t="shared" si="68"/>
        <v>Haller TEXAS BOWIE</v>
      </c>
      <c r="V235" s="10" t="str">
        <f t="shared" si="69"/>
        <v>Haller TEXAS BOWIE,Accueil,Messer plus,feste Klinge,Haller,Haller</v>
      </c>
      <c r="W235" s="10">
        <v>1</v>
      </c>
      <c r="X235" s="10">
        <v>1</v>
      </c>
      <c r="Y235" s="17" t="str">
        <f t="shared" si="75"/>
        <v>http://usfh.ch/img/Messer/81402.jpg</v>
      </c>
      <c r="Z235" s="10">
        <f t="shared" si="70"/>
        <v>81402</v>
      </c>
      <c r="AA235" s="13">
        <f t="shared" si="71"/>
        <v>99</v>
      </c>
      <c r="AB235" s="13">
        <f t="shared" si="72"/>
        <v>19.95</v>
      </c>
      <c r="AC235" s="10">
        <v>0.5</v>
      </c>
    </row>
    <row r="236" spans="1:29" s="14" customFormat="1" ht="15" customHeight="1" x14ac:dyDescent="0.25">
      <c r="A236" s="10">
        <v>235</v>
      </c>
      <c r="B236" s="10"/>
      <c r="C236" s="10"/>
      <c r="D236" s="10"/>
      <c r="E236" s="10"/>
      <c r="F236" s="10">
        <v>0</v>
      </c>
      <c r="G236" s="11">
        <v>81572</v>
      </c>
      <c r="H236" s="10">
        <v>1</v>
      </c>
      <c r="I236" s="16" t="s">
        <v>692</v>
      </c>
      <c r="J236" s="10" t="s">
        <v>30</v>
      </c>
      <c r="K236" s="10"/>
      <c r="L236" s="9">
        <v>99</v>
      </c>
      <c r="M236" s="10">
        <v>53</v>
      </c>
      <c r="N236" s="9">
        <v>19.95</v>
      </c>
      <c r="O236" s="10">
        <f t="shared" si="74"/>
        <v>81572</v>
      </c>
      <c r="P236" s="10" t="s">
        <v>44</v>
      </c>
      <c r="Q236" s="10" t="s">
        <v>44</v>
      </c>
      <c r="R236" s="12"/>
      <c r="S236" s="16" t="s">
        <v>693</v>
      </c>
      <c r="T236" s="10" t="str">
        <f t="shared" si="67"/>
        <v>Haller BOWIEMESSER,Accueil,Messer plus,feste Klinge,Haller,Haller</v>
      </c>
      <c r="U236" s="10" t="str">
        <f t="shared" si="68"/>
        <v>Haller BOWIEMESSER</v>
      </c>
      <c r="V236" s="10" t="str">
        <f t="shared" si="69"/>
        <v>Haller BOWIEMESSER,Accueil,Messer plus,feste Klinge,Haller,Haller</v>
      </c>
      <c r="W236" s="10">
        <v>1</v>
      </c>
      <c r="X236" s="10">
        <v>1</v>
      </c>
      <c r="Y236" s="17" t="str">
        <f t="shared" si="75"/>
        <v>http://usfh.ch/img/Messer/81572.jpg</v>
      </c>
      <c r="Z236" s="10">
        <f t="shared" si="70"/>
        <v>81572</v>
      </c>
      <c r="AA236" s="13">
        <f t="shared" si="71"/>
        <v>0</v>
      </c>
      <c r="AB236" s="13">
        <f t="shared" si="72"/>
        <v>0</v>
      </c>
      <c r="AC236" s="10">
        <v>0.5</v>
      </c>
    </row>
    <row r="237" spans="1:29" s="14" customFormat="1" ht="15" customHeight="1" x14ac:dyDescent="0.25">
      <c r="A237" s="10">
        <v>236</v>
      </c>
      <c r="B237" s="10"/>
      <c r="C237" s="10"/>
      <c r="D237" s="10"/>
      <c r="E237" s="10"/>
      <c r="F237" s="10">
        <v>2</v>
      </c>
      <c r="G237" s="11" t="s">
        <v>696</v>
      </c>
      <c r="H237" s="10">
        <v>1</v>
      </c>
      <c r="I237" s="16" t="s">
        <v>697</v>
      </c>
      <c r="J237" s="10" t="s">
        <v>30</v>
      </c>
      <c r="K237" s="10"/>
      <c r="L237" s="9">
        <v>55</v>
      </c>
      <c r="M237" s="10">
        <v>53</v>
      </c>
      <c r="N237" s="9">
        <v>11.9</v>
      </c>
      <c r="O237" s="10" t="str">
        <f t="shared" si="74"/>
        <v>RA2200110</v>
      </c>
      <c r="P237" s="10" t="s">
        <v>159</v>
      </c>
      <c r="Q237" s="10" t="s">
        <v>698</v>
      </c>
      <c r="R237" s="12"/>
      <c r="S237" s="16" t="s">
        <v>699</v>
      </c>
      <c r="T237" s="10" t="str">
        <f t="shared" si="67"/>
        <v>RAPALA - SOFT GRIP FILETIERMESSER 15CM BP706SH1,Accueil,Messer plus,feste Klinge,Rapala-Fishco,Rapala</v>
      </c>
      <c r="U237" s="10" t="str">
        <f t="shared" si="68"/>
        <v>RAPALA - SOFT GRIP FILETIERMESSER 15CM BP706SH1</v>
      </c>
      <c r="V237" s="10" t="str">
        <f t="shared" si="69"/>
        <v>RAPALA - SOFT GRIP FILETIERMESSER 15CM BP706SH1,Accueil,Messer plus,feste Klinge,Rapala-Fishco,Rapala</v>
      </c>
      <c r="W237" s="10">
        <v>1</v>
      </c>
      <c r="X237" s="10">
        <v>1</v>
      </c>
      <c r="Y237" s="17" t="str">
        <f t="shared" si="75"/>
        <v>http://usfh.ch/img/Messer/RA2200110.jpg</v>
      </c>
      <c r="Z237" s="10" t="str">
        <f t="shared" si="70"/>
        <v>RA2200110</v>
      </c>
      <c r="AA237" s="13">
        <f t="shared" si="71"/>
        <v>110</v>
      </c>
      <c r="AB237" s="13">
        <f t="shared" si="72"/>
        <v>23.8</v>
      </c>
      <c r="AC237" s="10">
        <v>0.5</v>
      </c>
    </row>
    <row r="238" spans="1:29" s="14" customFormat="1" ht="15" customHeight="1" x14ac:dyDescent="0.25">
      <c r="A238" s="10">
        <v>237</v>
      </c>
      <c r="B238" s="10"/>
      <c r="C238" s="10"/>
      <c r="D238" s="10"/>
      <c r="E238" s="10"/>
      <c r="F238" s="10">
        <v>2</v>
      </c>
      <c r="G238" s="11" t="s">
        <v>700</v>
      </c>
      <c r="H238" s="10">
        <v>1</v>
      </c>
      <c r="I238" s="16" t="s">
        <v>701</v>
      </c>
      <c r="J238" s="10" t="s">
        <v>30</v>
      </c>
      <c r="K238" s="10"/>
      <c r="L238" s="9">
        <v>55</v>
      </c>
      <c r="M238" s="10">
        <v>53</v>
      </c>
      <c r="N238" s="9">
        <v>12.15</v>
      </c>
      <c r="O238" s="10" t="str">
        <f t="shared" si="74"/>
        <v>RA2200111</v>
      </c>
      <c r="P238" s="10" t="s">
        <v>159</v>
      </c>
      <c r="Q238" s="10" t="s">
        <v>698</v>
      </c>
      <c r="R238" s="12"/>
      <c r="S238" s="16" t="s">
        <v>702</v>
      </c>
      <c r="T238" s="10" t="str">
        <f t="shared" ref="T238:T292" si="76">$I238 &amp; "," &amp; $J238 &amp;"," &amp; $P238 &amp;","&amp; $Q238</f>
        <v>RAPALA - SOFT GRIP FILETIERMESSER 19CM BP707SH1,Accueil,Messer plus,feste Klinge,Rapala-Fishco,Rapala</v>
      </c>
      <c r="U238" s="10" t="str">
        <f t="shared" ref="U238:U292" si="77">I238</f>
        <v>RAPALA - SOFT GRIP FILETIERMESSER 19CM BP707SH1</v>
      </c>
      <c r="V238" s="10" t="str">
        <f t="shared" ref="V238:V292" si="78">T238</f>
        <v>RAPALA - SOFT GRIP FILETIERMESSER 19CM BP707SH1,Accueil,Messer plus,feste Klinge,Rapala-Fishco,Rapala</v>
      </c>
      <c r="W238" s="10">
        <v>1</v>
      </c>
      <c r="X238" s="10">
        <v>1</v>
      </c>
      <c r="Y238" s="17" t="str">
        <f t="shared" si="75"/>
        <v>http://usfh.ch/img/Messer/RA2200111.jpg</v>
      </c>
      <c r="Z238" s="10" t="str">
        <f t="shared" ref="Z238:Z292" si="79">G238</f>
        <v>RA2200111</v>
      </c>
      <c r="AA238" s="13">
        <f t="shared" ref="AA238:AA292" si="80">F238*L238</f>
        <v>110</v>
      </c>
      <c r="AB238" s="13">
        <f t="shared" ref="AB238:AB292" si="81">F238*N238</f>
        <v>24.3</v>
      </c>
      <c r="AC238" s="10">
        <v>0.5</v>
      </c>
    </row>
    <row r="239" spans="1:29" s="14" customFormat="1" ht="15" customHeight="1" x14ac:dyDescent="0.25">
      <c r="A239" s="10">
        <v>238</v>
      </c>
      <c r="B239" s="10"/>
      <c r="C239" s="10"/>
      <c r="D239" s="10"/>
      <c r="E239" s="10"/>
      <c r="F239" s="10">
        <v>2</v>
      </c>
      <c r="G239" s="11" t="s">
        <v>713</v>
      </c>
      <c r="H239" s="10">
        <v>1</v>
      </c>
      <c r="I239" s="16" t="s">
        <v>714</v>
      </c>
      <c r="J239" s="10" t="s">
        <v>30</v>
      </c>
      <c r="K239" s="10"/>
      <c r="L239" s="9">
        <v>49</v>
      </c>
      <c r="M239" s="10">
        <v>53</v>
      </c>
      <c r="N239" s="9">
        <v>22</v>
      </c>
      <c r="O239" s="10" t="str">
        <f t="shared" si="74"/>
        <v>CS-17DA</v>
      </c>
      <c r="P239" s="10" t="s">
        <v>707</v>
      </c>
      <c r="Q239" s="10" t="s">
        <v>711</v>
      </c>
      <c r="R239" s="12"/>
      <c r="S239" s="16" t="s">
        <v>715</v>
      </c>
      <c r="T239" s="10" t="str">
        <f t="shared" si="76"/>
        <v>Kyoto I, Kleines Festehendes Messer,Accueil,Messer plus,feste Klinge,Battle-Merchant,Cold Steel</v>
      </c>
      <c r="U239" s="10" t="str">
        <f t="shared" si="77"/>
        <v>Kyoto I, Kleines Festehendes Messer</v>
      </c>
      <c r="V239" s="10" t="str">
        <f t="shared" si="78"/>
        <v>Kyoto I, Kleines Festehendes Messer,Accueil,Messer plus,feste Klinge,Battle-Merchant,Cold Steel</v>
      </c>
      <c r="W239" s="10">
        <v>1</v>
      </c>
      <c r="X239" s="10">
        <v>1</v>
      </c>
      <c r="Y239" s="17" t="str">
        <f t="shared" si="75"/>
        <v>http://usfh.ch/img/Messer/CS-17DA.jpg</v>
      </c>
      <c r="Z239" s="10" t="str">
        <f t="shared" si="79"/>
        <v>CS-17DA</v>
      </c>
      <c r="AA239" s="13">
        <f t="shared" si="80"/>
        <v>98</v>
      </c>
      <c r="AB239" s="13">
        <f t="shared" si="81"/>
        <v>44</v>
      </c>
      <c r="AC239" s="10">
        <v>0.5</v>
      </c>
    </row>
    <row r="240" spans="1:29" s="14" customFormat="1" ht="15" customHeight="1" x14ac:dyDescent="0.25">
      <c r="A240" s="10">
        <v>239</v>
      </c>
      <c r="B240" s="10"/>
      <c r="C240" s="10"/>
      <c r="D240" s="10"/>
      <c r="E240" s="10"/>
      <c r="F240" s="10">
        <v>1</v>
      </c>
      <c r="G240" s="11" t="s">
        <v>709</v>
      </c>
      <c r="H240" s="10">
        <v>1</v>
      </c>
      <c r="I240" s="16" t="s">
        <v>710</v>
      </c>
      <c r="J240" s="10" t="s">
        <v>30</v>
      </c>
      <c r="K240" s="10"/>
      <c r="L240" s="9">
        <v>49</v>
      </c>
      <c r="M240" s="10">
        <v>53</v>
      </c>
      <c r="N240" s="9">
        <v>22</v>
      </c>
      <c r="O240" s="10" t="str">
        <f t="shared" si="74"/>
        <v>CS-17DB</v>
      </c>
      <c r="P240" s="10" t="s">
        <v>707</v>
      </c>
      <c r="Q240" s="10" t="s">
        <v>711</v>
      </c>
      <c r="R240" s="12"/>
      <c r="S240" s="16" t="s">
        <v>712</v>
      </c>
      <c r="T240" s="10" t="str">
        <f t="shared" si="76"/>
        <v>Kyoto II, Kleines Festehendes Messer,Accueil,Messer plus,feste Klinge,Battle-Merchant,Cold Steel</v>
      </c>
      <c r="U240" s="10" t="str">
        <f t="shared" si="77"/>
        <v>Kyoto II, Kleines Festehendes Messer</v>
      </c>
      <c r="V240" s="10" t="str">
        <f t="shared" si="78"/>
        <v>Kyoto II, Kleines Festehendes Messer,Accueil,Messer plus,feste Klinge,Battle-Merchant,Cold Steel</v>
      </c>
      <c r="W240" s="10">
        <v>1</v>
      </c>
      <c r="X240" s="10">
        <v>1</v>
      </c>
      <c r="Y240" s="17" t="str">
        <f t="shared" si="75"/>
        <v>http://usfh.ch/img/Messer/CS-17DB.jpg</v>
      </c>
      <c r="Z240" s="10" t="str">
        <f t="shared" si="79"/>
        <v>CS-17DB</v>
      </c>
      <c r="AA240" s="13">
        <f t="shared" si="80"/>
        <v>49</v>
      </c>
      <c r="AB240" s="13">
        <f t="shared" si="81"/>
        <v>22</v>
      </c>
      <c r="AC240" s="10">
        <v>0.5</v>
      </c>
    </row>
    <row r="241" spans="1:29" s="14" customFormat="1" ht="15" customHeight="1" x14ac:dyDescent="0.25">
      <c r="A241" s="10">
        <v>240</v>
      </c>
      <c r="B241" s="10"/>
      <c r="C241" s="10"/>
      <c r="D241" s="10"/>
      <c r="E241" s="10"/>
      <c r="F241" s="10">
        <v>1</v>
      </c>
      <c r="G241" s="11" t="s">
        <v>704</v>
      </c>
      <c r="H241" s="10">
        <v>1</v>
      </c>
      <c r="I241" s="16" t="s">
        <v>705</v>
      </c>
      <c r="J241" s="10" t="s">
        <v>30</v>
      </c>
      <c r="K241" s="10"/>
      <c r="L241" s="9">
        <v>256</v>
      </c>
      <c r="M241" s="10">
        <v>53</v>
      </c>
      <c r="N241" s="9">
        <v>120</v>
      </c>
      <c r="O241" s="10" t="str">
        <f t="shared" si="74"/>
        <v>SNL-03SESW</v>
      </c>
      <c r="P241" s="10" t="s">
        <v>707</v>
      </c>
      <c r="Q241" s="10" t="s">
        <v>706</v>
      </c>
      <c r="R241" s="12"/>
      <c r="S241" s="16" t="s">
        <v>708</v>
      </c>
      <c r="T241" s="10" t="str">
        <f t="shared" si="76"/>
        <v>Schnitzel TRI Outdoormesser, Special Edition,Accueil,Messer plus,feste Klinge,Battle-Merchant,Schnitzel</v>
      </c>
      <c r="U241" s="10" t="str">
        <f t="shared" si="77"/>
        <v>Schnitzel TRI Outdoormesser, Special Edition</v>
      </c>
      <c r="V241" s="10" t="str">
        <f t="shared" si="78"/>
        <v>Schnitzel TRI Outdoormesser, Special Edition,Accueil,Messer plus,feste Klinge,Battle-Merchant,Schnitzel</v>
      </c>
      <c r="W241" s="10">
        <v>1</v>
      </c>
      <c r="X241" s="10">
        <v>1</v>
      </c>
      <c r="Y241" s="17" t="str">
        <f t="shared" si="75"/>
        <v>http://usfh.ch/img/Messer/SNL-03SESW.jpg</v>
      </c>
      <c r="Z241" s="10" t="str">
        <f t="shared" si="79"/>
        <v>SNL-03SESW</v>
      </c>
      <c r="AA241" s="13">
        <f t="shared" si="80"/>
        <v>256</v>
      </c>
      <c r="AB241" s="13">
        <f t="shared" si="81"/>
        <v>120</v>
      </c>
      <c r="AC241" s="10">
        <v>0.5</v>
      </c>
    </row>
    <row r="242" spans="1:29" s="14" customFormat="1" ht="15" customHeight="1" x14ac:dyDescent="0.25">
      <c r="A242" s="10">
        <v>241</v>
      </c>
      <c r="B242" s="10"/>
      <c r="C242" s="10"/>
      <c r="D242" s="10"/>
      <c r="E242" s="10"/>
      <c r="F242" s="10">
        <v>1</v>
      </c>
      <c r="G242" s="11">
        <v>83552</v>
      </c>
      <c r="H242" s="10">
        <v>1</v>
      </c>
      <c r="I242" s="16" t="s">
        <v>694</v>
      </c>
      <c r="J242" s="10" t="s">
        <v>30</v>
      </c>
      <c r="K242" s="10"/>
      <c r="L242" s="9">
        <v>139</v>
      </c>
      <c r="M242" s="10">
        <v>53</v>
      </c>
      <c r="N242" s="9">
        <v>38.950000000000003</v>
      </c>
      <c r="O242" s="10">
        <f t="shared" si="74"/>
        <v>83552</v>
      </c>
      <c r="P242" s="10" t="s">
        <v>44</v>
      </c>
      <c r="Q242" s="10" t="s">
        <v>44</v>
      </c>
      <c r="R242" s="12"/>
      <c r="S242" s="16" t="s">
        <v>695</v>
      </c>
      <c r="T242" s="10" t="str">
        <f t="shared" si="76"/>
        <v>Haller JACKSON'S BOWIE PAKKA,Accueil,Messer plus,feste Klinge,Haller,Haller</v>
      </c>
      <c r="U242" s="10" t="str">
        <f t="shared" si="77"/>
        <v>Haller JACKSON'S BOWIE PAKKA</v>
      </c>
      <c r="V242" s="10" t="str">
        <f t="shared" si="78"/>
        <v>Haller JACKSON'S BOWIE PAKKA,Accueil,Messer plus,feste Klinge,Haller,Haller</v>
      </c>
      <c r="W242" s="10">
        <v>1</v>
      </c>
      <c r="X242" s="10">
        <v>1</v>
      </c>
      <c r="Y242" s="17" t="str">
        <f t="shared" si="75"/>
        <v>http://usfh.ch/img/Messer/83552.jpg</v>
      </c>
      <c r="Z242" s="10">
        <f t="shared" si="79"/>
        <v>83552</v>
      </c>
      <c r="AA242" s="13">
        <f t="shared" si="80"/>
        <v>139</v>
      </c>
      <c r="AB242" s="13">
        <f t="shared" si="81"/>
        <v>38.950000000000003</v>
      </c>
      <c r="AC242" s="10">
        <v>0.5</v>
      </c>
    </row>
    <row r="243" spans="1:29" s="14" customFormat="1" ht="15" customHeight="1" x14ac:dyDescent="0.25">
      <c r="A243" s="10">
        <v>242</v>
      </c>
      <c r="B243" s="10"/>
      <c r="C243" s="10"/>
      <c r="D243" s="10"/>
      <c r="E243" s="10"/>
      <c r="F243" s="10">
        <v>2</v>
      </c>
      <c r="G243" s="11">
        <v>84010</v>
      </c>
      <c r="H243" s="10">
        <v>1</v>
      </c>
      <c r="I243" s="16" t="s">
        <v>716</v>
      </c>
      <c r="J243" s="10" t="s">
        <v>27</v>
      </c>
      <c r="K243" s="10"/>
      <c r="L243" s="9">
        <v>35</v>
      </c>
      <c r="M243" s="10">
        <v>53</v>
      </c>
      <c r="N243" s="9">
        <v>9.9499999999999993</v>
      </c>
      <c r="O243" s="10">
        <f>G248</f>
        <v>84015</v>
      </c>
      <c r="P243" s="10" t="s">
        <v>44</v>
      </c>
      <c r="Q243" s="10" t="s">
        <v>44</v>
      </c>
      <c r="R243" s="12"/>
      <c r="S243" s="16" t="s">
        <v>717</v>
      </c>
      <c r="T243" s="10" t="str">
        <f t="shared" si="76"/>
        <v>NIGHTMARE TASCHENMESSER,Accueil,Messer plus,Klappmesser,Haller,Haller</v>
      </c>
      <c r="U243" s="10" t="str">
        <f t="shared" si="77"/>
        <v>NIGHTMARE TASCHENMESSER</v>
      </c>
      <c r="V243" s="10" t="str">
        <f t="shared" si="78"/>
        <v>NIGHTMARE TASCHENMESSER,Accueil,Messer plus,Klappmesser,Haller,Haller</v>
      </c>
      <c r="W243" s="10">
        <v>1</v>
      </c>
      <c r="X243" s="10">
        <v>1</v>
      </c>
      <c r="Y243" s="17" t="str">
        <f xml:space="preserve"> "http://usfh.ch/img/Messer/" &amp; G248 &amp; ".jpg"</f>
        <v>http://usfh.ch/img/Messer/84015.jpg</v>
      </c>
      <c r="Z243" s="10">
        <f t="shared" si="79"/>
        <v>84010</v>
      </c>
      <c r="AA243" s="13">
        <f t="shared" si="80"/>
        <v>70</v>
      </c>
      <c r="AB243" s="13">
        <f t="shared" si="81"/>
        <v>19.899999999999999</v>
      </c>
      <c r="AC243" s="10">
        <v>0.5</v>
      </c>
    </row>
    <row r="244" spans="1:29" s="14" customFormat="1" ht="15" customHeight="1" x14ac:dyDescent="0.25">
      <c r="A244" s="10">
        <v>243</v>
      </c>
      <c r="B244" s="10"/>
      <c r="C244" s="10"/>
      <c r="D244" s="10"/>
      <c r="E244" s="10"/>
      <c r="F244" s="10">
        <v>2</v>
      </c>
      <c r="G244" s="11">
        <v>84011</v>
      </c>
      <c r="H244" s="10">
        <v>1</v>
      </c>
      <c r="I244" s="16" t="s">
        <v>716</v>
      </c>
      <c r="J244" s="10" t="s">
        <v>27</v>
      </c>
      <c r="K244" s="10"/>
      <c r="L244" s="9">
        <v>35</v>
      </c>
      <c r="M244" s="10">
        <v>53</v>
      </c>
      <c r="N244" s="9">
        <v>9.9499999999999993</v>
      </c>
      <c r="O244" s="10">
        <f>G249</f>
        <v>84016</v>
      </c>
      <c r="P244" s="10" t="s">
        <v>44</v>
      </c>
      <c r="Q244" s="10" t="s">
        <v>44</v>
      </c>
      <c r="R244" s="12"/>
      <c r="S244" s="16" t="s">
        <v>717</v>
      </c>
      <c r="T244" s="10" t="str">
        <f t="shared" si="76"/>
        <v>NIGHTMARE TASCHENMESSER,Accueil,Messer plus,Klappmesser,Haller,Haller</v>
      </c>
      <c r="U244" s="10" t="str">
        <f t="shared" si="77"/>
        <v>NIGHTMARE TASCHENMESSER</v>
      </c>
      <c r="V244" s="10" t="str">
        <f t="shared" si="78"/>
        <v>NIGHTMARE TASCHENMESSER,Accueil,Messer plus,Klappmesser,Haller,Haller</v>
      </c>
      <c r="W244" s="10">
        <v>1</v>
      </c>
      <c r="X244" s="10">
        <v>1</v>
      </c>
      <c r="Y244" s="17" t="str">
        <f xml:space="preserve"> "http://usfh.ch/img/Messer/" &amp; G249 &amp; ".jpg"</f>
        <v>http://usfh.ch/img/Messer/84016.jpg</v>
      </c>
      <c r="Z244" s="10">
        <f t="shared" si="79"/>
        <v>84011</v>
      </c>
      <c r="AA244" s="13">
        <f t="shared" si="80"/>
        <v>70</v>
      </c>
      <c r="AB244" s="13">
        <f t="shared" si="81"/>
        <v>19.899999999999999</v>
      </c>
      <c r="AC244" s="10">
        <v>0.5</v>
      </c>
    </row>
    <row r="245" spans="1:29" s="14" customFormat="1" ht="15" customHeight="1" x14ac:dyDescent="0.25">
      <c r="A245" s="10">
        <v>244</v>
      </c>
      <c r="B245" s="10"/>
      <c r="C245" s="10"/>
      <c r="D245" s="10"/>
      <c r="E245" s="10"/>
      <c r="F245" s="10">
        <v>1</v>
      </c>
      <c r="G245" s="11">
        <v>84012</v>
      </c>
      <c r="H245" s="10">
        <v>1</v>
      </c>
      <c r="I245" s="16" t="s">
        <v>716</v>
      </c>
      <c r="J245" s="10" t="s">
        <v>27</v>
      </c>
      <c r="K245" s="10"/>
      <c r="L245" s="9">
        <v>35</v>
      </c>
      <c r="M245" s="10">
        <v>53</v>
      </c>
      <c r="N245" s="9">
        <v>9.9499999999999993</v>
      </c>
      <c r="O245" s="10">
        <f>G250</f>
        <v>84017</v>
      </c>
      <c r="P245" s="10" t="s">
        <v>44</v>
      </c>
      <c r="Q245" s="10" t="s">
        <v>44</v>
      </c>
      <c r="R245" s="12"/>
      <c r="S245" s="16" t="s">
        <v>717</v>
      </c>
      <c r="T245" s="10" t="str">
        <f t="shared" si="76"/>
        <v>NIGHTMARE TASCHENMESSER,Accueil,Messer plus,Klappmesser,Haller,Haller</v>
      </c>
      <c r="U245" s="10" t="str">
        <f t="shared" si="77"/>
        <v>NIGHTMARE TASCHENMESSER</v>
      </c>
      <c r="V245" s="10" t="str">
        <f t="shared" si="78"/>
        <v>NIGHTMARE TASCHENMESSER,Accueil,Messer plus,Klappmesser,Haller,Haller</v>
      </c>
      <c r="W245" s="10">
        <v>1</v>
      </c>
      <c r="X245" s="10">
        <v>1</v>
      </c>
      <c r="Y245" s="17" t="str">
        <f xml:space="preserve"> "http://usfh.ch/img/Messer/" &amp; G250 &amp; ".jpg"</f>
        <v>http://usfh.ch/img/Messer/84017.jpg</v>
      </c>
      <c r="Z245" s="10">
        <f t="shared" si="79"/>
        <v>84012</v>
      </c>
      <c r="AA245" s="13">
        <f t="shared" si="80"/>
        <v>35</v>
      </c>
      <c r="AB245" s="13">
        <f t="shared" si="81"/>
        <v>9.9499999999999993</v>
      </c>
      <c r="AC245" s="10">
        <v>0.5</v>
      </c>
    </row>
    <row r="246" spans="1:29" s="14" customFormat="1" ht="15" customHeight="1" x14ac:dyDescent="0.25">
      <c r="A246" s="10">
        <v>245</v>
      </c>
      <c r="B246" s="10"/>
      <c r="C246" s="10"/>
      <c r="D246" s="10"/>
      <c r="E246" s="10"/>
      <c r="F246" s="10">
        <v>5</v>
      </c>
      <c r="G246" s="11">
        <v>84013</v>
      </c>
      <c r="H246" s="10">
        <v>1</v>
      </c>
      <c r="I246" s="16" t="s">
        <v>716</v>
      </c>
      <c r="J246" s="10" t="s">
        <v>27</v>
      </c>
      <c r="K246" s="10"/>
      <c r="L246" s="9">
        <v>35</v>
      </c>
      <c r="M246" s="10">
        <v>53</v>
      </c>
      <c r="N246" s="9">
        <v>9.9499999999999993</v>
      </c>
      <c r="O246" s="10">
        <f t="shared" ref="O246:O272" si="82">G246</f>
        <v>84013</v>
      </c>
      <c r="P246" s="10" t="s">
        <v>44</v>
      </c>
      <c r="Q246" s="10" t="s">
        <v>44</v>
      </c>
      <c r="R246" s="12"/>
      <c r="S246" s="16" t="s">
        <v>717</v>
      </c>
      <c r="T246" s="10" t="str">
        <f t="shared" si="76"/>
        <v>NIGHTMARE TASCHENMESSER,Accueil,Messer plus,Klappmesser,Haller,Haller</v>
      </c>
      <c r="U246" s="10" t="str">
        <f t="shared" si="77"/>
        <v>NIGHTMARE TASCHENMESSER</v>
      </c>
      <c r="V246" s="10" t="str">
        <f t="shared" si="78"/>
        <v>NIGHTMARE TASCHENMESSER,Accueil,Messer plus,Klappmesser,Haller,Haller</v>
      </c>
      <c r="W246" s="10">
        <v>1</v>
      </c>
      <c r="X246" s="10">
        <v>1</v>
      </c>
      <c r="Y246" s="17" t="str">
        <f xml:space="preserve"> "http://usfh.ch/img/Messer/" &amp; G246 &amp; ".jpg"</f>
        <v>http://usfh.ch/img/Messer/84013.jpg</v>
      </c>
      <c r="Z246" s="10">
        <f t="shared" si="79"/>
        <v>84013</v>
      </c>
      <c r="AA246" s="13">
        <f t="shared" si="80"/>
        <v>175</v>
      </c>
      <c r="AB246" s="13">
        <f t="shared" si="81"/>
        <v>49.75</v>
      </c>
      <c r="AC246" s="10">
        <v>0.5</v>
      </c>
    </row>
    <row r="247" spans="1:29" s="14" customFormat="1" ht="15" customHeight="1" x14ac:dyDescent="0.25">
      <c r="A247" s="10">
        <v>246</v>
      </c>
      <c r="B247" s="10"/>
      <c r="C247" s="10"/>
      <c r="D247" s="10"/>
      <c r="E247" s="10"/>
      <c r="F247" s="10">
        <v>3</v>
      </c>
      <c r="G247" s="11">
        <v>84014</v>
      </c>
      <c r="H247" s="10">
        <v>1</v>
      </c>
      <c r="I247" s="16" t="s">
        <v>716</v>
      </c>
      <c r="J247" s="10" t="s">
        <v>27</v>
      </c>
      <c r="K247" s="10"/>
      <c r="L247" s="9">
        <v>35</v>
      </c>
      <c r="M247" s="10">
        <v>53</v>
      </c>
      <c r="N247" s="9">
        <v>9.9499999999999993</v>
      </c>
      <c r="O247" s="10">
        <f t="shared" si="82"/>
        <v>84014</v>
      </c>
      <c r="P247" s="10" t="s">
        <v>44</v>
      </c>
      <c r="Q247" s="10" t="s">
        <v>44</v>
      </c>
      <c r="R247" s="12"/>
      <c r="S247" s="16" t="s">
        <v>717</v>
      </c>
      <c r="T247" s="10" t="str">
        <f t="shared" si="76"/>
        <v>NIGHTMARE TASCHENMESSER,Accueil,Messer plus,Klappmesser,Haller,Haller</v>
      </c>
      <c r="U247" s="10" t="str">
        <f t="shared" si="77"/>
        <v>NIGHTMARE TASCHENMESSER</v>
      </c>
      <c r="V247" s="10" t="str">
        <f t="shared" si="78"/>
        <v>NIGHTMARE TASCHENMESSER,Accueil,Messer plus,Klappmesser,Haller,Haller</v>
      </c>
      <c r="W247" s="10">
        <v>1</v>
      </c>
      <c r="X247" s="10">
        <v>1</v>
      </c>
      <c r="Y247" s="17" t="str">
        <f xml:space="preserve"> "http://usfh.ch/img/Messer/" &amp; G247 &amp; ".jpg"</f>
        <v>http://usfh.ch/img/Messer/84014.jpg</v>
      </c>
      <c r="Z247" s="10">
        <f t="shared" si="79"/>
        <v>84014</v>
      </c>
      <c r="AA247" s="13">
        <f t="shared" si="80"/>
        <v>105</v>
      </c>
      <c r="AB247" s="13">
        <f t="shared" si="81"/>
        <v>29.849999999999998</v>
      </c>
      <c r="AC247" s="10">
        <v>0.5</v>
      </c>
    </row>
    <row r="248" spans="1:29" s="14" customFormat="1" ht="15" customHeight="1" x14ac:dyDescent="0.25">
      <c r="A248" s="10">
        <v>247</v>
      </c>
      <c r="B248" s="10"/>
      <c r="C248" s="10"/>
      <c r="D248" s="10"/>
      <c r="E248" s="10"/>
      <c r="F248" s="10">
        <v>2</v>
      </c>
      <c r="G248" s="11">
        <v>84015</v>
      </c>
      <c r="H248" s="10">
        <v>1</v>
      </c>
      <c r="I248" s="16" t="s">
        <v>716</v>
      </c>
      <c r="J248" s="10" t="s">
        <v>27</v>
      </c>
      <c r="K248" s="10"/>
      <c r="L248" s="9">
        <v>35</v>
      </c>
      <c r="M248" s="10">
        <v>53</v>
      </c>
      <c r="N248" s="9">
        <v>9.9499999999999993</v>
      </c>
      <c r="O248" s="10">
        <f t="shared" si="82"/>
        <v>84015</v>
      </c>
      <c r="P248" s="10" t="s">
        <v>44</v>
      </c>
      <c r="Q248" s="10" t="s">
        <v>44</v>
      </c>
      <c r="R248" s="12"/>
      <c r="S248" s="16" t="s">
        <v>717</v>
      </c>
      <c r="T248" s="10" t="str">
        <f t="shared" si="76"/>
        <v>NIGHTMARE TASCHENMESSER,Accueil,Messer plus,Klappmesser,Haller,Haller</v>
      </c>
      <c r="U248" s="10" t="str">
        <f t="shared" si="77"/>
        <v>NIGHTMARE TASCHENMESSER</v>
      </c>
      <c r="V248" s="10" t="str">
        <f t="shared" si="78"/>
        <v>NIGHTMARE TASCHENMESSER,Accueil,Messer plus,Klappmesser,Haller,Haller</v>
      </c>
      <c r="W248" s="10">
        <v>1</v>
      </c>
      <c r="X248" s="10">
        <v>1</v>
      </c>
      <c r="Y248" s="17" t="str">
        <f t="shared" ref="Y248:Y272" si="83" xml:space="preserve"> "http://usfh.ch/img/Messer/" &amp;G248 &amp; ".jpg"</f>
        <v>http://usfh.ch/img/Messer/84015.jpg</v>
      </c>
      <c r="Z248" s="10">
        <f t="shared" si="79"/>
        <v>84015</v>
      </c>
      <c r="AA248" s="13">
        <f t="shared" si="80"/>
        <v>70</v>
      </c>
      <c r="AB248" s="13">
        <f t="shared" si="81"/>
        <v>19.899999999999999</v>
      </c>
      <c r="AC248" s="10">
        <v>0.5</v>
      </c>
    </row>
    <row r="249" spans="1:29" s="14" customFormat="1" ht="15" customHeight="1" x14ac:dyDescent="0.25">
      <c r="A249" s="10">
        <v>248</v>
      </c>
      <c r="B249" s="10"/>
      <c r="C249" s="10"/>
      <c r="D249" s="10"/>
      <c r="E249" s="10"/>
      <c r="F249" s="10">
        <v>2</v>
      </c>
      <c r="G249" s="11">
        <v>84016</v>
      </c>
      <c r="H249" s="10">
        <v>1</v>
      </c>
      <c r="I249" s="16" t="s">
        <v>716</v>
      </c>
      <c r="J249" s="10" t="s">
        <v>27</v>
      </c>
      <c r="K249" s="10"/>
      <c r="L249" s="9">
        <v>35</v>
      </c>
      <c r="M249" s="10">
        <v>53</v>
      </c>
      <c r="N249" s="9">
        <v>9.9499999999999993</v>
      </c>
      <c r="O249" s="10">
        <f t="shared" si="82"/>
        <v>84016</v>
      </c>
      <c r="P249" s="10" t="s">
        <v>44</v>
      </c>
      <c r="Q249" s="10" t="s">
        <v>44</v>
      </c>
      <c r="R249" s="12"/>
      <c r="S249" s="16" t="s">
        <v>717</v>
      </c>
      <c r="T249" s="10" t="str">
        <f t="shared" si="76"/>
        <v>NIGHTMARE TASCHENMESSER,Accueil,Messer plus,Klappmesser,Haller,Haller</v>
      </c>
      <c r="U249" s="10" t="str">
        <f t="shared" si="77"/>
        <v>NIGHTMARE TASCHENMESSER</v>
      </c>
      <c r="V249" s="10" t="str">
        <f t="shared" si="78"/>
        <v>NIGHTMARE TASCHENMESSER,Accueil,Messer plus,Klappmesser,Haller,Haller</v>
      </c>
      <c r="W249" s="10">
        <v>1</v>
      </c>
      <c r="X249" s="10">
        <v>1</v>
      </c>
      <c r="Y249" s="17" t="str">
        <f t="shared" si="83"/>
        <v>http://usfh.ch/img/Messer/84016.jpg</v>
      </c>
      <c r="Z249" s="10">
        <f t="shared" si="79"/>
        <v>84016</v>
      </c>
      <c r="AA249" s="13">
        <f t="shared" si="80"/>
        <v>70</v>
      </c>
      <c r="AB249" s="13">
        <f t="shared" si="81"/>
        <v>19.899999999999999</v>
      </c>
      <c r="AC249" s="10">
        <v>0.5</v>
      </c>
    </row>
    <row r="250" spans="1:29" s="14" customFormat="1" ht="15" customHeight="1" x14ac:dyDescent="0.25">
      <c r="A250" s="10">
        <v>249</v>
      </c>
      <c r="B250" s="10"/>
      <c r="C250" s="10"/>
      <c r="D250" s="10"/>
      <c r="E250" s="10"/>
      <c r="F250" s="10">
        <v>3</v>
      </c>
      <c r="G250" s="11">
        <v>84017</v>
      </c>
      <c r="H250" s="10">
        <v>1</v>
      </c>
      <c r="I250" s="16" t="s">
        <v>716</v>
      </c>
      <c r="J250" s="10" t="s">
        <v>27</v>
      </c>
      <c r="K250" s="10"/>
      <c r="L250" s="9">
        <v>35</v>
      </c>
      <c r="M250" s="10">
        <v>53</v>
      </c>
      <c r="N250" s="9">
        <v>9.9499999999999993</v>
      </c>
      <c r="O250" s="10">
        <f t="shared" si="82"/>
        <v>84017</v>
      </c>
      <c r="P250" s="10" t="s">
        <v>44</v>
      </c>
      <c r="Q250" s="10" t="s">
        <v>44</v>
      </c>
      <c r="R250" s="12"/>
      <c r="S250" s="16" t="s">
        <v>717</v>
      </c>
      <c r="T250" s="10" t="str">
        <f t="shared" si="76"/>
        <v>NIGHTMARE TASCHENMESSER,Accueil,Messer plus,Klappmesser,Haller,Haller</v>
      </c>
      <c r="U250" s="10" t="str">
        <f t="shared" si="77"/>
        <v>NIGHTMARE TASCHENMESSER</v>
      </c>
      <c r="V250" s="10" t="str">
        <f t="shared" si="78"/>
        <v>NIGHTMARE TASCHENMESSER,Accueil,Messer plus,Klappmesser,Haller,Haller</v>
      </c>
      <c r="W250" s="10">
        <v>1</v>
      </c>
      <c r="X250" s="10">
        <v>1</v>
      </c>
      <c r="Y250" s="17" t="str">
        <f t="shared" si="83"/>
        <v>http://usfh.ch/img/Messer/84017.jpg</v>
      </c>
      <c r="Z250" s="10">
        <f t="shared" si="79"/>
        <v>84017</v>
      </c>
      <c r="AA250" s="13">
        <f t="shared" si="80"/>
        <v>105</v>
      </c>
      <c r="AB250" s="13">
        <f t="shared" si="81"/>
        <v>29.849999999999998</v>
      </c>
      <c r="AC250" s="10">
        <v>0.5</v>
      </c>
    </row>
    <row r="251" spans="1:29" s="14" customFormat="1" ht="15" customHeight="1" x14ac:dyDescent="0.25">
      <c r="A251" s="10">
        <v>250</v>
      </c>
      <c r="B251" s="10"/>
      <c r="C251" s="10"/>
      <c r="D251" s="10"/>
      <c r="E251" s="10"/>
      <c r="F251" s="10">
        <v>1</v>
      </c>
      <c r="G251" s="11" t="s">
        <v>720</v>
      </c>
      <c r="H251" s="10">
        <v>1</v>
      </c>
      <c r="I251" s="16" t="s">
        <v>721</v>
      </c>
      <c r="J251" s="10" t="s">
        <v>30</v>
      </c>
      <c r="K251" s="10"/>
      <c r="L251" s="9">
        <v>199</v>
      </c>
      <c r="M251" s="10">
        <v>53</v>
      </c>
      <c r="N251" s="9">
        <v>91.48</v>
      </c>
      <c r="O251" s="10" t="str">
        <f t="shared" si="82"/>
        <v>05ZS9126</v>
      </c>
      <c r="P251" s="10" t="s">
        <v>40</v>
      </c>
      <c r="Q251" s="10" t="s">
        <v>41</v>
      </c>
      <c r="R251" s="12"/>
      <c r="S251" s="16" t="s">
        <v>722</v>
      </c>
      <c r="T251" s="10" t="str">
        <f t="shared" si="76"/>
        <v>Magnum Akito,Accueil,Messer plus,feste Klinge,Böker,Magnum</v>
      </c>
      <c r="U251" s="10" t="str">
        <f t="shared" si="77"/>
        <v>Magnum Akito</v>
      </c>
      <c r="V251" s="10" t="str">
        <f t="shared" si="78"/>
        <v>Magnum Akito,Accueil,Messer plus,feste Klinge,Böker,Magnum</v>
      </c>
      <c r="W251" s="10">
        <v>1</v>
      </c>
      <c r="X251" s="10">
        <v>1</v>
      </c>
      <c r="Y251" s="17" t="str">
        <f t="shared" si="83"/>
        <v>http://usfh.ch/img/Messer/05ZS9126.jpg</v>
      </c>
      <c r="Z251" s="10" t="str">
        <f t="shared" si="79"/>
        <v>05ZS9126</v>
      </c>
      <c r="AA251" s="13">
        <f t="shared" si="80"/>
        <v>199</v>
      </c>
      <c r="AB251" s="13">
        <f t="shared" si="81"/>
        <v>91.48</v>
      </c>
      <c r="AC251" s="10">
        <v>0.5</v>
      </c>
    </row>
    <row r="252" spans="1:29" s="14" customFormat="1" ht="15" customHeight="1" x14ac:dyDescent="0.25">
      <c r="A252" s="10">
        <v>251</v>
      </c>
      <c r="B252" s="10"/>
      <c r="C252" s="10"/>
      <c r="D252" s="10"/>
      <c r="E252" s="10"/>
      <c r="F252" s="10">
        <v>1</v>
      </c>
      <c r="G252" s="11">
        <v>50699</v>
      </c>
      <c r="H252" s="10">
        <v>1</v>
      </c>
      <c r="I252" s="16" t="s">
        <v>718</v>
      </c>
      <c r="J252" s="10" t="s">
        <v>30</v>
      </c>
      <c r="K252" s="10"/>
      <c r="L252" s="9">
        <v>89</v>
      </c>
      <c r="M252" s="10">
        <v>53</v>
      </c>
      <c r="N252" s="9">
        <v>37.950000000000003</v>
      </c>
      <c r="O252" s="10">
        <f t="shared" si="82"/>
        <v>50699</v>
      </c>
      <c r="P252" s="10" t="s">
        <v>44</v>
      </c>
      <c r="Q252" s="10" t="s">
        <v>520</v>
      </c>
      <c r="R252" s="12"/>
      <c r="S252" s="16" t="s">
        <v>719</v>
      </c>
      <c r="T252" s="10" t="str">
        <f t="shared" si="76"/>
        <v>LANSKY 3ER STANDARD SCHLEIFSET – LKC03,Accueil,Messer plus,feste Klinge,Haller,Lansky</v>
      </c>
      <c r="U252" s="10" t="str">
        <f t="shared" si="77"/>
        <v>LANSKY 3ER STANDARD SCHLEIFSET – LKC03</v>
      </c>
      <c r="V252" s="10" t="str">
        <f t="shared" si="78"/>
        <v>LANSKY 3ER STANDARD SCHLEIFSET – LKC03,Accueil,Messer plus,feste Klinge,Haller,Lansky</v>
      </c>
      <c r="W252" s="10">
        <v>1</v>
      </c>
      <c r="X252" s="10">
        <v>1</v>
      </c>
      <c r="Y252" s="17" t="str">
        <f t="shared" si="83"/>
        <v>http://usfh.ch/img/Messer/50699.jpg</v>
      </c>
      <c r="Z252" s="10">
        <f t="shared" si="79"/>
        <v>50699</v>
      </c>
      <c r="AA252" s="13">
        <f t="shared" si="80"/>
        <v>89</v>
      </c>
      <c r="AB252" s="13">
        <f t="shared" si="81"/>
        <v>37.950000000000003</v>
      </c>
      <c r="AC252" s="10">
        <v>0.5</v>
      </c>
    </row>
    <row r="253" spans="1:29" s="14" customFormat="1" ht="15" customHeight="1" x14ac:dyDescent="0.25">
      <c r="A253" s="10">
        <v>252</v>
      </c>
      <c r="B253" s="10"/>
      <c r="C253" s="10"/>
      <c r="D253" s="10"/>
      <c r="E253" s="10"/>
      <c r="F253" s="10">
        <v>1</v>
      </c>
      <c r="G253" s="11" t="s">
        <v>724</v>
      </c>
      <c r="H253" s="10">
        <v>1</v>
      </c>
      <c r="I253" s="16" t="s">
        <v>723</v>
      </c>
      <c r="J253" s="10" t="s">
        <v>30</v>
      </c>
      <c r="K253" s="10"/>
      <c r="L253" s="9">
        <v>79</v>
      </c>
      <c r="M253" s="10">
        <v>53</v>
      </c>
      <c r="N253" s="9">
        <v>32.479999999999997</v>
      </c>
      <c r="O253" s="10" t="str">
        <f t="shared" si="82"/>
        <v>02RU070</v>
      </c>
      <c r="P253" s="10" t="s">
        <v>40</v>
      </c>
      <c r="Q253" s="10" t="s">
        <v>500</v>
      </c>
      <c r="R253" s="12"/>
      <c r="S253" s="16" t="s">
        <v>726</v>
      </c>
      <c r="T253" s="10" t="str">
        <f t="shared" si="76"/>
        <v>K25 Thunder I OD Green,Accueil,Messer plus,feste Klinge,Böker,K25</v>
      </c>
      <c r="U253" s="10" t="str">
        <f t="shared" si="77"/>
        <v>K25 Thunder I OD Green</v>
      </c>
      <c r="V253" s="10" t="str">
        <f t="shared" si="78"/>
        <v>K25 Thunder I OD Green,Accueil,Messer plus,feste Klinge,Böker,K25</v>
      </c>
      <c r="W253" s="10">
        <v>1</v>
      </c>
      <c r="X253" s="10">
        <v>1</v>
      </c>
      <c r="Y253" s="17" t="str">
        <f t="shared" si="83"/>
        <v>http://usfh.ch/img/Messer/02RU070.jpg</v>
      </c>
      <c r="Z253" s="10" t="str">
        <f t="shared" si="79"/>
        <v>02RU070</v>
      </c>
      <c r="AA253" s="13">
        <f t="shared" si="80"/>
        <v>79</v>
      </c>
      <c r="AB253" s="13">
        <f t="shared" si="81"/>
        <v>32.479999999999997</v>
      </c>
      <c r="AC253" s="10">
        <v>0.5</v>
      </c>
    </row>
    <row r="254" spans="1:29" s="14" customFormat="1" ht="15" customHeight="1" x14ac:dyDescent="0.25">
      <c r="A254" s="10">
        <v>253</v>
      </c>
      <c r="B254" s="10"/>
      <c r="C254" s="10"/>
      <c r="D254" s="10"/>
      <c r="E254" s="10"/>
      <c r="F254" s="10">
        <v>1</v>
      </c>
      <c r="G254" s="11" t="s">
        <v>725</v>
      </c>
      <c r="H254" s="10">
        <v>1</v>
      </c>
      <c r="I254" s="16" t="s">
        <v>727</v>
      </c>
      <c r="J254" s="10" t="s">
        <v>30</v>
      </c>
      <c r="K254" s="10"/>
      <c r="L254" s="9">
        <v>79</v>
      </c>
      <c r="M254" s="10">
        <v>53</v>
      </c>
      <c r="N254" s="9">
        <v>32.479999999999997</v>
      </c>
      <c r="O254" s="10" t="str">
        <f t="shared" si="82"/>
        <v>02RU028</v>
      </c>
      <c r="P254" s="10" t="s">
        <v>40</v>
      </c>
      <c r="Q254" s="10" t="s">
        <v>500</v>
      </c>
      <c r="R254" s="12"/>
      <c r="S254" s="16" t="s">
        <v>728</v>
      </c>
      <c r="T254" s="10" t="str">
        <f t="shared" si="76"/>
        <v>K25 Thunder I Desert,Accueil,Messer plus,feste Klinge,Böker,K25</v>
      </c>
      <c r="U254" s="10" t="str">
        <f t="shared" si="77"/>
        <v>K25 Thunder I Desert</v>
      </c>
      <c r="V254" s="10" t="str">
        <f t="shared" si="78"/>
        <v>K25 Thunder I Desert,Accueil,Messer plus,feste Klinge,Böker,K25</v>
      </c>
      <c r="W254" s="10">
        <v>1</v>
      </c>
      <c r="X254" s="10">
        <v>1</v>
      </c>
      <c r="Y254" s="17" t="str">
        <f t="shared" si="83"/>
        <v>http://usfh.ch/img/Messer/02RU028.jpg</v>
      </c>
      <c r="Z254" s="10" t="str">
        <f t="shared" si="79"/>
        <v>02RU028</v>
      </c>
      <c r="AA254" s="13">
        <f t="shared" si="80"/>
        <v>79</v>
      </c>
      <c r="AB254" s="13">
        <f t="shared" si="81"/>
        <v>32.479999999999997</v>
      </c>
      <c r="AC254" s="10">
        <v>0.5</v>
      </c>
    </row>
    <row r="255" spans="1:29" s="14" customFormat="1" ht="15" customHeight="1" x14ac:dyDescent="0.25">
      <c r="A255" s="10">
        <v>254</v>
      </c>
      <c r="B255" s="10"/>
      <c r="C255" s="10"/>
      <c r="D255" s="10"/>
      <c r="E255" s="10"/>
      <c r="F255" s="10">
        <v>3</v>
      </c>
      <c r="G255" s="11" t="s">
        <v>762</v>
      </c>
      <c r="H255" s="10">
        <v>1</v>
      </c>
      <c r="I255" s="16" t="s">
        <v>763</v>
      </c>
      <c r="J255" s="10" t="s">
        <v>27</v>
      </c>
      <c r="K255" s="10"/>
      <c r="L255" s="9">
        <v>79</v>
      </c>
      <c r="M255" s="10">
        <v>53</v>
      </c>
      <c r="N255" s="9">
        <v>18.649999999999999</v>
      </c>
      <c r="O255" s="10" t="str">
        <f t="shared" si="82"/>
        <v>01MB788DAM</v>
      </c>
      <c r="P255" s="10" t="s">
        <v>40</v>
      </c>
      <c r="Q255" s="10" t="s">
        <v>41</v>
      </c>
      <c r="R255" s="12"/>
      <c r="S255" s="16" t="s">
        <v>764</v>
      </c>
      <c r="T255" s="10" t="str">
        <f t="shared" si="76"/>
        <v>Magnum Damast Lady,Accueil,Messer plus,Klappmesser,Böker,Magnum</v>
      </c>
      <c r="U255" s="10" t="str">
        <f t="shared" si="77"/>
        <v>Magnum Damast Lady</v>
      </c>
      <c r="V255" s="10" t="str">
        <f t="shared" si="78"/>
        <v>Magnum Damast Lady,Accueil,Messer plus,Klappmesser,Böker,Magnum</v>
      </c>
      <c r="W255" s="10">
        <v>1</v>
      </c>
      <c r="X255" s="10">
        <v>1</v>
      </c>
      <c r="Y255" s="17" t="str">
        <f t="shared" si="83"/>
        <v>http://usfh.ch/img/Messer/01MB788DAM.jpg</v>
      </c>
      <c r="Z255" s="10" t="str">
        <f t="shared" si="79"/>
        <v>01MB788DAM</v>
      </c>
      <c r="AA255" s="13">
        <f t="shared" si="80"/>
        <v>237</v>
      </c>
      <c r="AB255" s="13">
        <f t="shared" si="81"/>
        <v>55.949999999999996</v>
      </c>
      <c r="AC255" s="10">
        <v>0.5</v>
      </c>
    </row>
    <row r="256" spans="1:29" s="14" customFormat="1" ht="15" customHeight="1" x14ac:dyDescent="0.25">
      <c r="A256" s="10">
        <v>255</v>
      </c>
      <c r="B256" s="10"/>
      <c r="C256" s="10"/>
      <c r="D256" s="10"/>
      <c r="E256" s="10"/>
      <c r="F256" s="10">
        <v>1</v>
      </c>
      <c r="G256" s="11" t="s">
        <v>765</v>
      </c>
      <c r="H256" s="10">
        <v>1</v>
      </c>
      <c r="I256" s="16" t="s">
        <v>766</v>
      </c>
      <c r="J256" s="10" t="s">
        <v>27</v>
      </c>
      <c r="K256" s="10"/>
      <c r="L256" s="9">
        <v>35</v>
      </c>
      <c r="M256" s="10">
        <v>53</v>
      </c>
      <c r="N256" s="9">
        <v>12.29</v>
      </c>
      <c r="O256" s="10" t="str">
        <f t="shared" si="82"/>
        <v>01RY248</v>
      </c>
      <c r="P256" s="10" t="s">
        <v>40</v>
      </c>
      <c r="Q256" s="10" t="s">
        <v>41</v>
      </c>
      <c r="R256" s="12"/>
      <c r="S256" s="16" t="s">
        <v>767</v>
      </c>
      <c r="T256" s="10" t="str">
        <f t="shared" si="76"/>
        <v>Magnum Black Spear II,Accueil,Messer plus,Klappmesser,Böker,Magnum</v>
      </c>
      <c r="U256" s="10" t="str">
        <f t="shared" si="77"/>
        <v>Magnum Black Spear II</v>
      </c>
      <c r="V256" s="10" t="str">
        <f t="shared" si="78"/>
        <v>Magnum Black Spear II,Accueil,Messer plus,Klappmesser,Böker,Magnum</v>
      </c>
      <c r="W256" s="10">
        <v>1</v>
      </c>
      <c r="X256" s="10">
        <v>1</v>
      </c>
      <c r="Y256" s="17" t="str">
        <f t="shared" si="83"/>
        <v>http://usfh.ch/img/Messer/01RY248.jpg</v>
      </c>
      <c r="Z256" s="10" t="str">
        <f t="shared" si="79"/>
        <v>01RY248</v>
      </c>
      <c r="AA256" s="13">
        <f t="shared" si="80"/>
        <v>35</v>
      </c>
      <c r="AB256" s="13">
        <f t="shared" si="81"/>
        <v>12.29</v>
      </c>
      <c r="AC256" s="10">
        <v>0.5</v>
      </c>
    </row>
    <row r="257" spans="1:29" s="14" customFormat="1" ht="15" customHeight="1" x14ac:dyDescent="0.25">
      <c r="A257" s="10">
        <v>256</v>
      </c>
      <c r="B257" s="10"/>
      <c r="C257" s="10"/>
      <c r="D257" s="10"/>
      <c r="E257" s="10"/>
      <c r="F257" s="10">
        <v>1</v>
      </c>
      <c r="G257" s="11">
        <v>72566</v>
      </c>
      <c r="H257" s="10">
        <v>1</v>
      </c>
      <c r="I257" s="16" t="s">
        <v>731</v>
      </c>
      <c r="J257" s="10" t="s">
        <v>30</v>
      </c>
      <c r="K257" s="10"/>
      <c r="L257" s="9">
        <v>229</v>
      </c>
      <c r="M257" s="10">
        <v>53</v>
      </c>
      <c r="N257" s="9">
        <v>99</v>
      </c>
      <c r="O257" s="10">
        <f t="shared" si="82"/>
        <v>72566</v>
      </c>
      <c r="P257" s="10" t="s">
        <v>44</v>
      </c>
      <c r="Q257" s="10" t="s">
        <v>732</v>
      </c>
      <c r="R257" s="12"/>
      <c r="S257" s="16" t="s">
        <v>733</v>
      </c>
      <c r="T257" s="10" t="str">
        <f t="shared" si="76"/>
        <v>FOX Champagnersäbel,Accueil,Messer plus,feste Klinge,Haller,FOX</v>
      </c>
      <c r="U257" s="10" t="str">
        <f t="shared" si="77"/>
        <v>FOX Champagnersäbel</v>
      </c>
      <c r="V257" s="10" t="str">
        <f t="shared" si="78"/>
        <v>FOX Champagnersäbel,Accueil,Messer plus,feste Klinge,Haller,FOX</v>
      </c>
      <c r="W257" s="10">
        <v>1</v>
      </c>
      <c r="X257" s="10">
        <v>1</v>
      </c>
      <c r="Y257" s="17" t="str">
        <f t="shared" si="83"/>
        <v>http://usfh.ch/img/Messer/72566.jpg</v>
      </c>
      <c r="Z257" s="10">
        <f t="shared" si="79"/>
        <v>72566</v>
      </c>
      <c r="AA257" s="13">
        <f t="shared" si="80"/>
        <v>229</v>
      </c>
      <c r="AB257" s="13">
        <f t="shared" si="81"/>
        <v>99</v>
      </c>
      <c r="AC257" s="10">
        <v>0.5</v>
      </c>
    </row>
    <row r="258" spans="1:29" s="14" customFormat="1" ht="15" customHeight="1" x14ac:dyDescent="0.25">
      <c r="A258" s="10">
        <v>257</v>
      </c>
      <c r="B258" s="10"/>
      <c r="C258" s="10"/>
      <c r="D258" s="10"/>
      <c r="E258" s="10"/>
      <c r="F258" s="10">
        <v>3</v>
      </c>
      <c r="G258" s="11">
        <v>82182</v>
      </c>
      <c r="H258" s="10">
        <v>1</v>
      </c>
      <c r="I258" s="16" t="s">
        <v>734</v>
      </c>
      <c r="J258" s="10" t="s">
        <v>27</v>
      </c>
      <c r="K258" s="10"/>
      <c r="L258" s="9">
        <v>35</v>
      </c>
      <c r="M258" s="10">
        <v>53</v>
      </c>
      <c r="N258" s="9">
        <v>9.9499999999999993</v>
      </c>
      <c r="O258" s="10">
        <f t="shared" si="82"/>
        <v>82182</v>
      </c>
      <c r="P258" s="10" t="s">
        <v>44</v>
      </c>
      <c r="Q258" s="10" t="s">
        <v>735</v>
      </c>
      <c r="R258" s="12"/>
      <c r="S258" s="16" t="s">
        <v>736</v>
      </c>
      <c r="T258" s="10" t="str">
        <f t="shared" si="76"/>
        <v>Fudo Messerschärfer,Accueil,Messer plus,Klappmesser,Haller,Fudo</v>
      </c>
      <c r="U258" s="10" t="str">
        <f t="shared" si="77"/>
        <v>Fudo Messerschärfer</v>
      </c>
      <c r="V258" s="10" t="str">
        <f t="shared" si="78"/>
        <v>Fudo Messerschärfer,Accueil,Messer plus,Klappmesser,Haller,Fudo</v>
      </c>
      <c r="W258" s="10">
        <v>1</v>
      </c>
      <c r="X258" s="10">
        <v>1</v>
      </c>
      <c r="Y258" s="17" t="str">
        <f t="shared" si="83"/>
        <v>http://usfh.ch/img/Messer/82182.jpg</v>
      </c>
      <c r="Z258" s="10">
        <f t="shared" si="79"/>
        <v>82182</v>
      </c>
      <c r="AA258" s="13">
        <f t="shared" si="80"/>
        <v>105</v>
      </c>
      <c r="AB258" s="13">
        <f t="shared" si="81"/>
        <v>29.849999999999998</v>
      </c>
      <c r="AC258" s="10">
        <v>0.5</v>
      </c>
    </row>
    <row r="259" spans="1:29" s="14" customFormat="1" ht="15" customHeight="1" x14ac:dyDescent="0.25">
      <c r="A259" s="10">
        <v>258</v>
      </c>
      <c r="B259" s="10"/>
      <c r="C259" s="10"/>
      <c r="D259" s="10"/>
      <c r="E259" s="10"/>
      <c r="F259" s="10">
        <v>2</v>
      </c>
      <c r="G259" s="11">
        <v>82711</v>
      </c>
      <c r="H259" s="10">
        <v>1</v>
      </c>
      <c r="I259" s="16" t="s">
        <v>737</v>
      </c>
      <c r="J259" s="10" t="s">
        <v>27</v>
      </c>
      <c r="K259" s="10"/>
      <c r="L259" s="9">
        <v>59</v>
      </c>
      <c r="M259" s="10">
        <v>53</v>
      </c>
      <c r="N259" s="9">
        <v>14.95</v>
      </c>
      <c r="O259" s="10">
        <f t="shared" si="82"/>
        <v>82711</v>
      </c>
      <c r="P259" s="10" t="s">
        <v>44</v>
      </c>
      <c r="Q259" s="10" t="s">
        <v>44</v>
      </c>
      <c r="R259" s="12"/>
      <c r="S259" s="16" t="s">
        <v>738</v>
      </c>
      <c r="T259" s="10" t="str">
        <f t="shared" si="76"/>
        <v>Taschenmesser Ebenholz,Accueil,Messer plus,Klappmesser,Haller,Haller</v>
      </c>
      <c r="U259" s="10" t="str">
        <f t="shared" si="77"/>
        <v>Taschenmesser Ebenholz</v>
      </c>
      <c r="V259" s="10" t="str">
        <f t="shared" si="78"/>
        <v>Taschenmesser Ebenholz,Accueil,Messer plus,Klappmesser,Haller,Haller</v>
      </c>
      <c r="W259" s="10">
        <v>1</v>
      </c>
      <c r="X259" s="10">
        <v>1</v>
      </c>
      <c r="Y259" s="17" t="str">
        <f t="shared" si="83"/>
        <v>http://usfh.ch/img/Messer/82711.jpg</v>
      </c>
      <c r="Z259" s="10">
        <f t="shared" si="79"/>
        <v>82711</v>
      </c>
      <c r="AA259" s="13">
        <f t="shared" si="80"/>
        <v>118</v>
      </c>
      <c r="AB259" s="13">
        <f t="shared" si="81"/>
        <v>29.9</v>
      </c>
      <c r="AC259" s="10">
        <v>0.5</v>
      </c>
    </row>
    <row r="260" spans="1:29" s="14" customFormat="1" ht="15" customHeight="1" x14ac:dyDescent="0.25">
      <c r="A260" s="10">
        <v>259</v>
      </c>
      <c r="B260" s="10"/>
      <c r="C260" s="10"/>
      <c r="D260" s="10"/>
      <c r="E260" s="10"/>
      <c r="F260" s="10">
        <v>0</v>
      </c>
      <c r="G260" s="11">
        <v>83696</v>
      </c>
      <c r="H260" s="10">
        <v>1</v>
      </c>
      <c r="I260" s="16" t="s">
        <v>773</v>
      </c>
      <c r="J260" s="10" t="s">
        <v>27</v>
      </c>
      <c r="K260" s="10"/>
      <c r="L260" s="9">
        <v>35</v>
      </c>
      <c r="M260" s="10">
        <v>53</v>
      </c>
      <c r="N260" s="9">
        <v>9.4499999999999993</v>
      </c>
      <c r="O260" s="10">
        <f t="shared" si="82"/>
        <v>83696</v>
      </c>
      <c r="P260" s="10" t="s">
        <v>44</v>
      </c>
      <c r="Q260" s="10" t="s">
        <v>44</v>
      </c>
      <c r="R260" s="12"/>
      <c r="S260" s="16" t="s">
        <v>739</v>
      </c>
      <c r="T260" s="10" t="str">
        <f t="shared" si="76"/>
        <v>Taschenmesser Rainbow,Accueil,Messer plus,Klappmesser,Haller,Haller</v>
      </c>
      <c r="U260" s="10" t="str">
        <f t="shared" si="77"/>
        <v>Taschenmesser Rainbow</v>
      </c>
      <c r="V260" s="10" t="str">
        <f t="shared" si="78"/>
        <v>Taschenmesser Rainbow,Accueil,Messer plus,Klappmesser,Haller,Haller</v>
      </c>
      <c r="W260" s="10">
        <v>1</v>
      </c>
      <c r="X260" s="10">
        <v>1</v>
      </c>
      <c r="Y260" s="17" t="str">
        <f t="shared" si="83"/>
        <v>http://usfh.ch/img/Messer/83696.jpg</v>
      </c>
      <c r="Z260" s="10">
        <f t="shared" si="79"/>
        <v>83696</v>
      </c>
      <c r="AA260" s="13">
        <f t="shared" si="80"/>
        <v>0</v>
      </c>
      <c r="AB260" s="13">
        <f t="shared" si="81"/>
        <v>0</v>
      </c>
      <c r="AC260" s="10">
        <v>0.5</v>
      </c>
    </row>
    <row r="261" spans="1:29" s="14" customFormat="1" ht="15" customHeight="1" x14ac:dyDescent="0.25">
      <c r="A261" s="10">
        <v>260</v>
      </c>
      <c r="B261" s="10"/>
      <c r="C261" s="10"/>
      <c r="D261" s="10"/>
      <c r="E261" s="10"/>
      <c r="F261" s="10">
        <v>2</v>
      </c>
      <c r="G261" s="11">
        <v>83911</v>
      </c>
      <c r="H261" s="10">
        <v>1</v>
      </c>
      <c r="I261" s="16" t="s">
        <v>740</v>
      </c>
      <c r="J261" s="10" t="s">
        <v>27</v>
      </c>
      <c r="K261" s="10"/>
      <c r="L261" s="9">
        <v>49</v>
      </c>
      <c r="M261" s="10">
        <v>53</v>
      </c>
      <c r="N261" s="9">
        <v>12.95</v>
      </c>
      <c r="O261" s="10">
        <f t="shared" si="82"/>
        <v>83911</v>
      </c>
      <c r="P261" s="10" t="s">
        <v>44</v>
      </c>
      <c r="Q261" s="10" t="s">
        <v>44</v>
      </c>
      <c r="R261" s="12"/>
      <c r="S261" s="16" t="s">
        <v>741</v>
      </c>
      <c r="T261" s="10" t="str">
        <f t="shared" si="76"/>
        <v xml:space="preserve">	
Haller Select BRESI,Accueil,Messer plus,Klappmesser,Haller,Haller</v>
      </c>
      <c r="U261" s="10" t="str">
        <f t="shared" si="77"/>
        <v xml:space="preserve">	
Haller Select BRESI</v>
      </c>
      <c r="V261" s="10" t="str">
        <f t="shared" si="78"/>
        <v xml:space="preserve">	
Haller Select BRESI,Accueil,Messer plus,Klappmesser,Haller,Haller</v>
      </c>
      <c r="W261" s="10">
        <v>1</v>
      </c>
      <c r="X261" s="10">
        <v>1</v>
      </c>
      <c r="Y261" s="17" t="str">
        <f t="shared" si="83"/>
        <v>http://usfh.ch/img/Messer/83911.jpg</v>
      </c>
      <c r="Z261" s="10">
        <f t="shared" si="79"/>
        <v>83911</v>
      </c>
      <c r="AA261" s="13">
        <f t="shared" si="80"/>
        <v>98</v>
      </c>
      <c r="AB261" s="13">
        <f t="shared" si="81"/>
        <v>25.9</v>
      </c>
      <c r="AC261" s="10">
        <v>0.5</v>
      </c>
    </row>
    <row r="262" spans="1:29" s="14" customFormat="1" ht="15" customHeight="1" x14ac:dyDescent="0.25">
      <c r="A262" s="10">
        <v>261</v>
      </c>
      <c r="B262" s="10"/>
      <c r="C262" s="10"/>
      <c r="D262" s="10"/>
      <c r="E262" s="10"/>
      <c r="F262" s="10">
        <v>3</v>
      </c>
      <c r="G262" s="11">
        <v>83913</v>
      </c>
      <c r="H262" s="10">
        <v>1</v>
      </c>
      <c r="I262" s="16" t="s">
        <v>742</v>
      </c>
      <c r="J262" s="10" t="s">
        <v>27</v>
      </c>
      <c r="K262" s="10"/>
      <c r="L262" s="9">
        <v>49</v>
      </c>
      <c r="M262" s="10">
        <v>53</v>
      </c>
      <c r="N262" s="9">
        <v>12.95</v>
      </c>
      <c r="O262" s="10">
        <f t="shared" si="82"/>
        <v>83913</v>
      </c>
      <c r="P262" s="10" t="s">
        <v>44</v>
      </c>
      <c r="Q262" s="10" t="s">
        <v>44</v>
      </c>
      <c r="R262" s="12"/>
      <c r="S262" s="16" t="s">
        <v>743</v>
      </c>
      <c r="T262" s="10" t="str">
        <f t="shared" si="76"/>
        <v>Haller Select BRAGI,Accueil,Messer plus,Klappmesser,Haller,Haller</v>
      </c>
      <c r="U262" s="10" t="str">
        <f t="shared" si="77"/>
        <v>Haller Select BRAGI</v>
      </c>
      <c r="V262" s="10" t="str">
        <f t="shared" si="78"/>
        <v>Haller Select BRAGI,Accueil,Messer plus,Klappmesser,Haller,Haller</v>
      </c>
      <c r="W262" s="10">
        <v>1</v>
      </c>
      <c r="X262" s="10">
        <v>1</v>
      </c>
      <c r="Y262" s="17" t="str">
        <f t="shared" si="83"/>
        <v>http://usfh.ch/img/Messer/83913.jpg</v>
      </c>
      <c r="Z262" s="10">
        <f t="shared" si="79"/>
        <v>83913</v>
      </c>
      <c r="AA262" s="13">
        <f t="shared" si="80"/>
        <v>147</v>
      </c>
      <c r="AB262" s="13">
        <f t="shared" si="81"/>
        <v>38.849999999999994</v>
      </c>
      <c r="AC262" s="10">
        <v>0.5</v>
      </c>
    </row>
    <row r="263" spans="1:29" s="14" customFormat="1" ht="15" customHeight="1" x14ac:dyDescent="0.25">
      <c r="A263" s="10">
        <v>262</v>
      </c>
      <c r="B263" s="10"/>
      <c r="C263" s="10"/>
      <c r="D263" s="10"/>
      <c r="E263" s="10"/>
      <c r="F263" s="10">
        <v>2</v>
      </c>
      <c r="G263" s="11">
        <v>83914</v>
      </c>
      <c r="H263" s="10">
        <v>1</v>
      </c>
      <c r="I263" s="16" t="s">
        <v>744</v>
      </c>
      <c r="J263" s="10" t="s">
        <v>27</v>
      </c>
      <c r="K263" s="10"/>
      <c r="L263" s="9">
        <v>35</v>
      </c>
      <c r="M263" s="10">
        <v>53</v>
      </c>
      <c r="N263" s="9">
        <v>8.9499999999999993</v>
      </c>
      <c r="O263" s="10">
        <f t="shared" si="82"/>
        <v>83914</v>
      </c>
      <c r="P263" s="10" t="s">
        <v>44</v>
      </c>
      <c r="Q263" s="10" t="s">
        <v>44</v>
      </c>
      <c r="R263" s="12"/>
      <c r="S263" s="16" t="s">
        <v>745</v>
      </c>
      <c r="T263" s="10" t="str">
        <f t="shared" si="76"/>
        <v>Haller Select BELI,Accueil,Messer plus,Klappmesser,Haller,Haller</v>
      </c>
      <c r="U263" s="10" t="str">
        <f t="shared" si="77"/>
        <v>Haller Select BELI</v>
      </c>
      <c r="V263" s="10" t="str">
        <f t="shared" si="78"/>
        <v>Haller Select BELI,Accueil,Messer plus,Klappmesser,Haller,Haller</v>
      </c>
      <c r="W263" s="10">
        <v>1</v>
      </c>
      <c r="X263" s="10">
        <v>1</v>
      </c>
      <c r="Y263" s="17" t="str">
        <f t="shared" si="83"/>
        <v>http://usfh.ch/img/Messer/83914.jpg</v>
      </c>
      <c r="Z263" s="10">
        <f t="shared" si="79"/>
        <v>83914</v>
      </c>
      <c r="AA263" s="13">
        <f t="shared" si="80"/>
        <v>70</v>
      </c>
      <c r="AB263" s="13">
        <f t="shared" si="81"/>
        <v>17.899999999999999</v>
      </c>
      <c r="AC263" s="10">
        <v>0.5</v>
      </c>
    </row>
    <row r="264" spans="1:29" s="14" customFormat="1" ht="15" customHeight="1" x14ac:dyDescent="0.25">
      <c r="A264" s="10">
        <v>263</v>
      </c>
      <c r="B264" s="10"/>
      <c r="C264" s="10"/>
      <c r="D264" s="10"/>
      <c r="E264" s="10"/>
      <c r="F264" s="10">
        <v>3</v>
      </c>
      <c r="G264" s="11">
        <v>83915</v>
      </c>
      <c r="H264" s="10">
        <v>1</v>
      </c>
      <c r="I264" s="16" t="s">
        <v>746</v>
      </c>
      <c r="J264" s="10" t="s">
        <v>27</v>
      </c>
      <c r="K264" s="10"/>
      <c r="L264" s="9">
        <v>35</v>
      </c>
      <c r="M264" s="10">
        <v>53</v>
      </c>
      <c r="N264" s="9">
        <v>9.9499999999999993</v>
      </c>
      <c r="O264" s="10">
        <f t="shared" si="82"/>
        <v>83915</v>
      </c>
      <c r="P264" s="10" t="s">
        <v>44</v>
      </c>
      <c r="Q264" s="10" t="s">
        <v>44</v>
      </c>
      <c r="R264" s="12"/>
      <c r="S264" s="16" t="s">
        <v>747</v>
      </c>
      <c r="T264" s="10" t="str">
        <f t="shared" si="76"/>
        <v>Haller Select BRESTIR,Accueil,Messer plus,Klappmesser,Haller,Haller</v>
      </c>
      <c r="U264" s="10" t="str">
        <f t="shared" si="77"/>
        <v>Haller Select BRESTIR</v>
      </c>
      <c r="V264" s="10" t="str">
        <f t="shared" si="78"/>
        <v>Haller Select BRESTIR,Accueil,Messer plus,Klappmesser,Haller,Haller</v>
      </c>
      <c r="W264" s="10">
        <v>1</v>
      </c>
      <c r="X264" s="10">
        <v>1</v>
      </c>
      <c r="Y264" s="17" t="str">
        <f t="shared" si="83"/>
        <v>http://usfh.ch/img/Messer/83915.jpg</v>
      </c>
      <c r="Z264" s="10">
        <f t="shared" si="79"/>
        <v>83915</v>
      </c>
      <c r="AA264" s="13">
        <f t="shared" si="80"/>
        <v>105</v>
      </c>
      <c r="AB264" s="13">
        <f t="shared" si="81"/>
        <v>29.849999999999998</v>
      </c>
      <c r="AC264" s="10">
        <v>0.5</v>
      </c>
    </row>
    <row r="265" spans="1:29" s="14" customFormat="1" ht="15" customHeight="1" x14ac:dyDescent="0.25">
      <c r="A265" s="10">
        <v>264</v>
      </c>
      <c r="B265" s="10"/>
      <c r="C265" s="10"/>
      <c r="D265" s="10"/>
      <c r="E265" s="10"/>
      <c r="F265" s="10">
        <v>2</v>
      </c>
      <c r="G265" s="11">
        <v>83916</v>
      </c>
      <c r="H265" s="10">
        <v>1</v>
      </c>
      <c r="I265" s="16" t="s">
        <v>748</v>
      </c>
      <c r="J265" s="10" t="s">
        <v>27</v>
      </c>
      <c r="K265" s="10"/>
      <c r="L265" s="9">
        <v>35</v>
      </c>
      <c r="M265" s="10">
        <v>53</v>
      </c>
      <c r="N265" s="9">
        <v>9.9499999999999993</v>
      </c>
      <c r="O265" s="10">
        <f t="shared" si="82"/>
        <v>83916</v>
      </c>
      <c r="P265" s="10" t="s">
        <v>44</v>
      </c>
      <c r="Q265" s="10" t="s">
        <v>44</v>
      </c>
      <c r="R265" s="12"/>
      <c r="S265" s="16" t="s">
        <v>749</v>
      </c>
      <c r="T265" s="10" t="str">
        <f t="shared" si="76"/>
        <v>Haller Select BRIMIR,Accueil,Messer plus,Klappmesser,Haller,Haller</v>
      </c>
      <c r="U265" s="10" t="str">
        <f t="shared" si="77"/>
        <v>Haller Select BRIMIR</v>
      </c>
      <c r="V265" s="10" t="str">
        <f t="shared" si="78"/>
        <v>Haller Select BRIMIR,Accueil,Messer plus,Klappmesser,Haller,Haller</v>
      </c>
      <c r="W265" s="10">
        <v>1</v>
      </c>
      <c r="X265" s="10">
        <v>1</v>
      </c>
      <c r="Y265" s="17" t="str">
        <f t="shared" si="83"/>
        <v>http://usfh.ch/img/Messer/83916.jpg</v>
      </c>
      <c r="Z265" s="10">
        <f t="shared" si="79"/>
        <v>83916</v>
      </c>
      <c r="AA265" s="13">
        <f t="shared" si="80"/>
        <v>70</v>
      </c>
      <c r="AB265" s="13">
        <f t="shared" si="81"/>
        <v>19.899999999999999</v>
      </c>
      <c r="AC265" s="10">
        <v>0.5</v>
      </c>
    </row>
    <row r="266" spans="1:29" s="14" customFormat="1" ht="15" customHeight="1" x14ac:dyDescent="0.25">
      <c r="A266" s="10">
        <v>265</v>
      </c>
      <c r="B266" s="10"/>
      <c r="C266" s="10"/>
      <c r="D266" s="10"/>
      <c r="E266" s="10"/>
      <c r="F266" s="10">
        <v>2</v>
      </c>
      <c r="G266" s="11">
        <v>83921</v>
      </c>
      <c r="H266" s="10">
        <v>1</v>
      </c>
      <c r="I266" s="16" t="s">
        <v>750</v>
      </c>
      <c r="J266" s="10" t="s">
        <v>27</v>
      </c>
      <c r="K266" s="10"/>
      <c r="L266" s="9">
        <v>35</v>
      </c>
      <c r="M266" s="10">
        <v>53</v>
      </c>
      <c r="N266" s="9">
        <v>9.9499999999999993</v>
      </c>
      <c r="O266" s="10">
        <f t="shared" si="82"/>
        <v>83921</v>
      </c>
      <c r="P266" s="10" t="s">
        <v>44</v>
      </c>
      <c r="Q266" s="10" t="s">
        <v>44</v>
      </c>
      <c r="R266" s="12"/>
      <c r="S266" s="16" t="s">
        <v>751</v>
      </c>
      <c r="T266" s="10" t="str">
        <f t="shared" si="76"/>
        <v>Haller Select BARKI,Accueil,Messer plus,Klappmesser,Haller,Haller</v>
      </c>
      <c r="U266" s="10" t="str">
        <f t="shared" si="77"/>
        <v>Haller Select BARKI</v>
      </c>
      <c r="V266" s="10" t="str">
        <f t="shared" si="78"/>
        <v>Haller Select BARKI,Accueil,Messer plus,Klappmesser,Haller,Haller</v>
      </c>
      <c r="W266" s="10">
        <v>1</v>
      </c>
      <c r="X266" s="10">
        <v>1</v>
      </c>
      <c r="Y266" s="17" t="str">
        <f t="shared" si="83"/>
        <v>http://usfh.ch/img/Messer/83921.jpg</v>
      </c>
      <c r="Z266" s="10">
        <f t="shared" si="79"/>
        <v>83921</v>
      </c>
      <c r="AA266" s="13">
        <f t="shared" si="80"/>
        <v>70</v>
      </c>
      <c r="AB266" s="13">
        <f t="shared" si="81"/>
        <v>19.899999999999999</v>
      </c>
      <c r="AC266" s="10">
        <v>0.5</v>
      </c>
    </row>
    <row r="267" spans="1:29" s="14" customFormat="1" ht="15" customHeight="1" x14ac:dyDescent="0.25">
      <c r="A267" s="10">
        <v>266</v>
      </c>
      <c r="B267" s="10"/>
      <c r="C267" s="10"/>
      <c r="D267" s="10"/>
      <c r="E267" s="10"/>
      <c r="F267" s="10">
        <v>3</v>
      </c>
      <c r="G267" s="11">
        <v>83923</v>
      </c>
      <c r="H267" s="10">
        <v>1</v>
      </c>
      <c r="I267" s="16" t="s">
        <v>752</v>
      </c>
      <c r="J267" s="10" t="s">
        <v>27</v>
      </c>
      <c r="K267" s="10"/>
      <c r="L267" s="9">
        <v>35</v>
      </c>
      <c r="M267" s="10">
        <v>53</v>
      </c>
      <c r="N267" s="9">
        <v>9.9499999999999993</v>
      </c>
      <c r="O267" s="10">
        <f t="shared" si="82"/>
        <v>83923</v>
      </c>
      <c r="P267" s="10" t="s">
        <v>44</v>
      </c>
      <c r="Q267" s="10" t="s">
        <v>44</v>
      </c>
      <c r="R267" s="12"/>
      <c r="S267" s="16" t="s">
        <v>753</v>
      </c>
      <c r="T267" s="10" t="str">
        <f t="shared" si="76"/>
        <v>Haller Select BERGUR,Accueil,Messer plus,Klappmesser,Haller,Haller</v>
      </c>
      <c r="U267" s="10" t="str">
        <f t="shared" si="77"/>
        <v>Haller Select BERGUR</v>
      </c>
      <c r="V267" s="10" t="str">
        <f t="shared" si="78"/>
        <v>Haller Select BERGUR,Accueil,Messer plus,Klappmesser,Haller,Haller</v>
      </c>
      <c r="W267" s="10">
        <v>1</v>
      </c>
      <c r="X267" s="10">
        <v>1</v>
      </c>
      <c r="Y267" s="17" t="str">
        <f t="shared" si="83"/>
        <v>http://usfh.ch/img/Messer/83923.jpg</v>
      </c>
      <c r="Z267" s="10">
        <f t="shared" si="79"/>
        <v>83923</v>
      </c>
      <c r="AA267" s="13">
        <f t="shared" si="80"/>
        <v>105</v>
      </c>
      <c r="AB267" s="13">
        <f t="shared" si="81"/>
        <v>29.849999999999998</v>
      </c>
      <c r="AC267" s="10">
        <v>0.5</v>
      </c>
    </row>
    <row r="268" spans="1:29" s="14" customFormat="1" ht="15" customHeight="1" x14ac:dyDescent="0.25">
      <c r="A268" s="10">
        <v>267</v>
      </c>
      <c r="B268" s="10"/>
      <c r="C268" s="10"/>
      <c r="D268" s="10"/>
      <c r="E268" s="10"/>
      <c r="F268" s="10">
        <v>2</v>
      </c>
      <c r="G268" s="11">
        <v>88028</v>
      </c>
      <c r="H268" s="10">
        <v>1</v>
      </c>
      <c r="I268" s="16" t="s">
        <v>754</v>
      </c>
      <c r="J268" s="10" t="s">
        <v>27</v>
      </c>
      <c r="K268" s="10"/>
      <c r="L268" s="9">
        <v>35</v>
      </c>
      <c r="M268" s="10">
        <v>53</v>
      </c>
      <c r="N268" s="9">
        <v>9.9499999999999993</v>
      </c>
      <c r="O268" s="10">
        <f t="shared" si="82"/>
        <v>88028</v>
      </c>
      <c r="P268" s="10" t="s">
        <v>44</v>
      </c>
      <c r="Q268" s="10" t="s">
        <v>44</v>
      </c>
      <c r="R268" s="12"/>
      <c r="S268" s="16" t="s">
        <v>755</v>
      </c>
      <c r="T268" s="10" t="str">
        <f t="shared" si="76"/>
        <v>BlackField DOLPHIN P.K.,Accueil,Messer plus,Klappmesser,Haller,Haller</v>
      </c>
      <c r="U268" s="10" t="str">
        <f t="shared" si="77"/>
        <v>BlackField DOLPHIN P.K.</v>
      </c>
      <c r="V268" s="10" t="str">
        <f t="shared" si="78"/>
        <v>BlackField DOLPHIN P.K.,Accueil,Messer plus,Klappmesser,Haller,Haller</v>
      </c>
      <c r="W268" s="10">
        <v>1</v>
      </c>
      <c r="X268" s="10">
        <v>1</v>
      </c>
      <c r="Y268" s="17" t="str">
        <f t="shared" si="83"/>
        <v>http://usfh.ch/img/Messer/88028.jpg</v>
      </c>
      <c r="Z268" s="10">
        <f t="shared" si="79"/>
        <v>88028</v>
      </c>
      <c r="AA268" s="13">
        <f t="shared" si="80"/>
        <v>70</v>
      </c>
      <c r="AB268" s="13">
        <f t="shared" si="81"/>
        <v>19.899999999999999</v>
      </c>
      <c r="AC268" s="10">
        <v>0.5</v>
      </c>
    </row>
    <row r="269" spans="1:29" s="14" customFormat="1" ht="15" customHeight="1" x14ac:dyDescent="0.25">
      <c r="A269" s="10">
        <v>268</v>
      </c>
      <c r="B269" s="10"/>
      <c r="C269" s="10"/>
      <c r="D269" s="10"/>
      <c r="E269" s="10"/>
      <c r="F269" s="10">
        <v>0</v>
      </c>
      <c r="G269" s="11">
        <v>1178</v>
      </c>
      <c r="H269" s="10">
        <v>1</v>
      </c>
      <c r="I269" s="16" t="s">
        <v>756</v>
      </c>
      <c r="J269" s="10" t="s">
        <v>27</v>
      </c>
      <c r="K269" s="10"/>
      <c r="L269" s="9">
        <v>189</v>
      </c>
      <c r="M269" s="10">
        <v>53</v>
      </c>
      <c r="N269" s="9">
        <v>77.5</v>
      </c>
      <c r="O269" s="10">
        <f t="shared" si="82"/>
        <v>1178</v>
      </c>
      <c r="P269" s="10" t="s">
        <v>321</v>
      </c>
      <c r="Q269" s="10" t="s">
        <v>321</v>
      </c>
      <c r="R269" s="12"/>
      <c r="S269" s="16" t="s">
        <v>758</v>
      </c>
      <c r="T269" s="10" t="str">
        <f t="shared" si="76"/>
        <v>Bravo Two Classic BK - SET,Accueil,Messer plus,Klappmesser,PohlForce,PohlForce</v>
      </c>
      <c r="U269" s="10" t="str">
        <f t="shared" si="77"/>
        <v>Bravo Two Classic BK - SET</v>
      </c>
      <c r="V269" s="10" t="str">
        <f t="shared" si="78"/>
        <v>Bravo Two Classic BK - SET,Accueil,Messer plus,Klappmesser,PohlForce,PohlForce</v>
      </c>
      <c r="W269" s="10">
        <v>1</v>
      </c>
      <c r="X269" s="10">
        <v>1</v>
      </c>
      <c r="Y269" s="17" t="str">
        <f t="shared" si="83"/>
        <v>http://usfh.ch/img/Messer/1178.jpg</v>
      </c>
      <c r="Z269" s="10">
        <f t="shared" si="79"/>
        <v>1178</v>
      </c>
      <c r="AA269" s="13">
        <f t="shared" si="80"/>
        <v>0</v>
      </c>
      <c r="AB269" s="13">
        <f t="shared" si="81"/>
        <v>0</v>
      </c>
      <c r="AC269" s="10">
        <v>0.5</v>
      </c>
    </row>
    <row r="270" spans="1:29" s="14" customFormat="1" ht="15" customHeight="1" x14ac:dyDescent="0.25">
      <c r="A270" s="10">
        <v>269</v>
      </c>
      <c r="B270" s="10"/>
      <c r="C270" s="10"/>
      <c r="D270" s="10"/>
      <c r="E270" s="10"/>
      <c r="F270" s="10">
        <v>0</v>
      </c>
      <c r="G270" s="11">
        <v>1179</v>
      </c>
      <c r="H270" s="10">
        <v>1</v>
      </c>
      <c r="I270" s="16" t="s">
        <v>757</v>
      </c>
      <c r="J270" s="10" t="s">
        <v>27</v>
      </c>
      <c r="K270" s="10"/>
      <c r="L270" s="9">
        <v>189</v>
      </c>
      <c r="M270" s="10">
        <v>53</v>
      </c>
      <c r="N270" s="9">
        <v>77.5</v>
      </c>
      <c r="O270" s="10">
        <f t="shared" si="82"/>
        <v>1179</v>
      </c>
      <c r="P270" s="10" t="s">
        <v>321</v>
      </c>
      <c r="Q270" s="10" t="s">
        <v>321</v>
      </c>
      <c r="R270" s="12"/>
      <c r="S270" s="16" t="s">
        <v>759</v>
      </c>
      <c r="T270" s="10" t="str">
        <f t="shared" si="76"/>
        <v>Bravo Two Classic FDE - SET,Accueil,Messer plus,Klappmesser,PohlForce,PohlForce</v>
      </c>
      <c r="U270" s="10" t="str">
        <f t="shared" si="77"/>
        <v>Bravo Two Classic FDE - SET</v>
      </c>
      <c r="V270" s="10" t="str">
        <f t="shared" si="78"/>
        <v>Bravo Two Classic FDE - SET,Accueil,Messer plus,Klappmesser,PohlForce,PohlForce</v>
      </c>
      <c r="W270" s="10">
        <v>1</v>
      </c>
      <c r="X270" s="10">
        <v>1</v>
      </c>
      <c r="Y270" s="17" t="str">
        <f t="shared" si="83"/>
        <v>http://usfh.ch/img/Messer/1179.jpg</v>
      </c>
      <c r="Z270" s="10">
        <f t="shared" si="79"/>
        <v>1179</v>
      </c>
      <c r="AA270" s="13">
        <f t="shared" si="80"/>
        <v>0</v>
      </c>
      <c r="AB270" s="13">
        <f t="shared" si="81"/>
        <v>0</v>
      </c>
      <c r="AC270" s="10">
        <v>0.5</v>
      </c>
    </row>
    <row r="271" spans="1:29" s="14" customFormat="1" ht="15" customHeight="1" x14ac:dyDescent="0.25">
      <c r="A271" s="10">
        <v>270</v>
      </c>
      <c r="B271" s="10"/>
      <c r="C271" s="10"/>
      <c r="D271" s="10"/>
      <c r="E271" s="10"/>
      <c r="F271" s="10">
        <v>1</v>
      </c>
      <c r="G271" s="11">
        <v>2448</v>
      </c>
      <c r="H271" s="10">
        <v>1</v>
      </c>
      <c r="I271" s="16" t="s">
        <v>760</v>
      </c>
      <c r="J271" s="10" t="s">
        <v>30</v>
      </c>
      <c r="K271" s="10"/>
      <c r="L271" s="9">
        <v>279</v>
      </c>
      <c r="M271" s="10">
        <v>53</v>
      </c>
      <c r="N271" s="9">
        <v>129.5</v>
      </c>
      <c r="O271" s="10">
        <f t="shared" si="82"/>
        <v>2448</v>
      </c>
      <c r="P271" s="10" t="s">
        <v>321</v>
      </c>
      <c r="Q271" s="10" t="s">
        <v>321</v>
      </c>
      <c r="R271" s="12"/>
      <c r="S271" s="16" t="s">
        <v>761</v>
      </c>
      <c r="T271" s="10" t="str">
        <f t="shared" si="76"/>
        <v>Quebec Two - Special Forces (Field),Accueil,Messer plus,feste Klinge,PohlForce,PohlForce</v>
      </c>
      <c r="U271" s="10" t="str">
        <f t="shared" si="77"/>
        <v>Quebec Two - Special Forces (Field)</v>
      </c>
      <c r="V271" s="10" t="str">
        <f t="shared" si="78"/>
        <v>Quebec Two - Special Forces (Field),Accueil,Messer plus,feste Klinge,PohlForce,PohlForce</v>
      </c>
      <c r="W271" s="10">
        <v>1</v>
      </c>
      <c r="X271" s="10">
        <v>1</v>
      </c>
      <c r="Y271" s="17" t="str">
        <f t="shared" si="83"/>
        <v>http://usfh.ch/img/Messer/2448.jpg</v>
      </c>
      <c r="Z271" s="10">
        <f t="shared" si="79"/>
        <v>2448</v>
      </c>
      <c r="AA271" s="13">
        <f t="shared" si="80"/>
        <v>279</v>
      </c>
      <c r="AB271" s="13">
        <f t="shared" si="81"/>
        <v>129.5</v>
      </c>
      <c r="AC271" s="10">
        <v>0.5</v>
      </c>
    </row>
    <row r="272" spans="1:29" s="14" customFormat="1" ht="15" customHeight="1" x14ac:dyDescent="0.25">
      <c r="A272" s="10">
        <v>271</v>
      </c>
      <c r="B272" s="10"/>
      <c r="C272" s="10"/>
      <c r="D272" s="10"/>
      <c r="E272" s="10"/>
      <c r="F272" s="10">
        <v>2</v>
      </c>
      <c r="G272" s="11" t="s">
        <v>768</v>
      </c>
      <c r="H272" s="10">
        <v>1</v>
      </c>
      <c r="I272" s="16" t="s">
        <v>769</v>
      </c>
      <c r="J272" s="10" t="s">
        <v>30</v>
      </c>
      <c r="K272" s="10"/>
      <c r="L272" s="9">
        <v>39</v>
      </c>
      <c r="M272" s="10">
        <v>53</v>
      </c>
      <c r="N272" s="9">
        <v>6.25</v>
      </c>
      <c r="O272" s="10" t="str">
        <f t="shared" si="82"/>
        <v>05-730013</v>
      </c>
      <c r="P272" s="10" t="s">
        <v>770</v>
      </c>
      <c r="Q272" s="10" t="s">
        <v>770</v>
      </c>
      <c r="R272" s="12"/>
      <c r="S272" s="16"/>
      <c r="T272" s="10" t="str">
        <f t="shared" si="76"/>
        <v>Edelstahl Messer Camou 12 cm Klinge,Accueil,Messer plus,feste Klinge,Fisherman`s Partner,Fisherman`s Partner</v>
      </c>
      <c r="U272" s="10" t="str">
        <f t="shared" si="77"/>
        <v>Edelstahl Messer Camou 12 cm Klinge</v>
      </c>
      <c r="V272" s="10" t="str">
        <f t="shared" si="78"/>
        <v>Edelstahl Messer Camou 12 cm Klinge,Accueil,Messer plus,feste Klinge,Fisherman`s Partner,Fisherman`s Partner</v>
      </c>
      <c r="W272" s="10">
        <v>1</v>
      </c>
      <c r="X272" s="10">
        <v>1</v>
      </c>
      <c r="Y272" s="17" t="str">
        <f t="shared" si="83"/>
        <v>http://usfh.ch/img/Messer/05-730013.jpg</v>
      </c>
      <c r="Z272" s="10" t="str">
        <f t="shared" si="79"/>
        <v>05-730013</v>
      </c>
      <c r="AA272" s="13">
        <f t="shared" si="80"/>
        <v>78</v>
      </c>
      <c r="AB272" s="13">
        <f t="shared" si="81"/>
        <v>12.5</v>
      </c>
      <c r="AC272" s="10">
        <v>0.5</v>
      </c>
    </row>
    <row r="273" spans="1:29" s="14" customFormat="1" ht="15" customHeight="1" x14ac:dyDescent="0.25">
      <c r="A273" s="10">
        <v>272</v>
      </c>
      <c r="B273" s="10"/>
      <c r="C273" s="10"/>
      <c r="D273" s="10"/>
      <c r="E273" s="10"/>
      <c r="F273" s="10">
        <v>1</v>
      </c>
      <c r="G273" s="11">
        <v>5015</v>
      </c>
      <c r="H273" s="10">
        <v>1</v>
      </c>
      <c r="I273" s="16" t="s">
        <v>573</v>
      </c>
      <c r="J273" s="10" t="s">
        <v>30</v>
      </c>
      <c r="K273" s="10"/>
      <c r="L273" s="9">
        <v>362</v>
      </c>
      <c r="M273" s="10">
        <v>53</v>
      </c>
      <c r="N273" s="9"/>
      <c r="O273" s="10">
        <f t="shared" ref="O273:O300" si="84">G273</f>
        <v>5015</v>
      </c>
      <c r="P273" s="10" t="s">
        <v>321</v>
      </c>
      <c r="Q273" s="10" t="s">
        <v>321</v>
      </c>
      <c r="R273" s="12"/>
      <c r="S273" s="16" t="s">
        <v>574</v>
      </c>
      <c r="T273" s="10" t="str">
        <f t="shared" si="76"/>
        <v>TACTICAL NINE BK,Accueil,Messer plus,feste Klinge,PohlForce,PohlForce</v>
      </c>
      <c r="U273" s="10" t="str">
        <f t="shared" si="77"/>
        <v>TACTICAL NINE BK</v>
      </c>
      <c r="V273" s="10" t="str">
        <f t="shared" si="78"/>
        <v>TACTICAL NINE BK,Accueil,Messer plus,feste Klinge,PohlForce,PohlForce</v>
      </c>
      <c r="W273" s="10">
        <v>1</v>
      </c>
      <c r="X273" s="10">
        <v>1</v>
      </c>
      <c r="Y273" s="17" t="str">
        <f t="shared" ref="Y273:Y302" si="85" xml:space="preserve"> "http://usfh.ch/img/Messer/" &amp;G273 &amp; ".jpg"</f>
        <v>http://usfh.ch/img/Messer/5015.jpg</v>
      </c>
      <c r="Z273" s="10">
        <f t="shared" si="79"/>
        <v>5015</v>
      </c>
      <c r="AA273" s="13">
        <f t="shared" si="80"/>
        <v>362</v>
      </c>
      <c r="AB273" s="13">
        <f t="shared" si="81"/>
        <v>0</v>
      </c>
      <c r="AC273" s="10">
        <v>0.5</v>
      </c>
    </row>
    <row r="274" spans="1:29" s="14" customFormat="1" ht="15" customHeight="1" x14ac:dyDescent="0.25">
      <c r="A274" s="10">
        <v>273</v>
      </c>
      <c r="B274" s="10"/>
      <c r="C274" s="10"/>
      <c r="D274" s="10"/>
      <c r="E274" s="10"/>
      <c r="F274" s="10">
        <v>1</v>
      </c>
      <c r="G274" s="11">
        <v>2448</v>
      </c>
      <c r="H274" s="10">
        <v>1</v>
      </c>
      <c r="I274" s="16" t="s">
        <v>760</v>
      </c>
      <c r="J274" s="10" t="s">
        <v>30</v>
      </c>
      <c r="K274" s="10"/>
      <c r="L274" s="9">
        <v>279</v>
      </c>
      <c r="M274" s="10">
        <v>53</v>
      </c>
      <c r="N274" s="9">
        <v>129.5</v>
      </c>
      <c r="O274" s="10">
        <f t="shared" si="84"/>
        <v>2448</v>
      </c>
      <c r="P274" s="10" t="s">
        <v>321</v>
      </c>
      <c r="Q274" s="10" t="s">
        <v>321</v>
      </c>
      <c r="R274" s="12"/>
      <c r="S274" s="16" t="s">
        <v>761</v>
      </c>
      <c r="T274" s="10" t="str">
        <f t="shared" si="76"/>
        <v>Quebec Two - Special Forces (Field),Accueil,Messer plus,feste Klinge,PohlForce,PohlForce</v>
      </c>
      <c r="U274" s="10" t="str">
        <f t="shared" si="77"/>
        <v>Quebec Two - Special Forces (Field)</v>
      </c>
      <c r="V274" s="10" t="str">
        <f t="shared" si="78"/>
        <v>Quebec Two - Special Forces (Field),Accueil,Messer plus,feste Klinge,PohlForce,PohlForce</v>
      </c>
      <c r="W274" s="10">
        <v>1</v>
      </c>
      <c r="X274" s="10">
        <v>1</v>
      </c>
      <c r="Y274" s="17" t="str">
        <f t="shared" si="85"/>
        <v>http://usfh.ch/img/Messer/2448.jpg</v>
      </c>
      <c r="Z274" s="10">
        <f t="shared" si="79"/>
        <v>2448</v>
      </c>
      <c r="AA274" s="13">
        <f t="shared" si="80"/>
        <v>279</v>
      </c>
      <c r="AB274" s="13">
        <f t="shared" si="81"/>
        <v>129.5</v>
      </c>
      <c r="AC274" s="10">
        <v>0.5</v>
      </c>
    </row>
    <row r="275" spans="1:29" s="14" customFormat="1" ht="15" customHeight="1" x14ac:dyDescent="0.25">
      <c r="A275" s="10">
        <v>274</v>
      </c>
      <c r="B275" s="10"/>
      <c r="C275" s="10"/>
      <c r="D275" s="10"/>
      <c r="E275" s="10"/>
      <c r="F275" s="10">
        <v>2</v>
      </c>
      <c r="G275" s="11">
        <v>5004</v>
      </c>
      <c r="H275" s="10">
        <v>1</v>
      </c>
      <c r="I275" s="16" t="s">
        <v>569</v>
      </c>
      <c r="J275" s="10" t="s">
        <v>30</v>
      </c>
      <c r="K275" s="10"/>
      <c r="L275" s="9">
        <v>323</v>
      </c>
      <c r="M275" s="10">
        <v>53</v>
      </c>
      <c r="N275" s="9"/>
      <c r="O275" s="10">
        <f t="shared" si="84"/>
        <v>5004</v>
      </c>
      <c r="P275" s="10" t="s">
        <v>321</v>
      </c>
      <c r="Q275" s="10" t="s">
        <v>321</v>
      </c>
      <c r="R275" s="12"/>
      <c r="S275" s="16" t="s">
        <v>570</v>
      </c>
      <c r="T275" s="10" t="str">
        <f t="shared" si="76"/>
        <v>TACTICAL EIGHT SW,Accueil,Messer plus,feste Klinge,PohlForce,PohlForce</v>
      </c>
      <c r="U275" s="10" t="str">
        <f t="shared" si="77"/>
        <v>TACTICAL EIGHT SW</v>
      </c>
      <c r="V275" s="10" t="str">
        <f t="shared" si="78"/>
        <v>TACTICAL EIGHT SW,Accueil,Messer plus,feste Klinge,PohlForce,PohlForce</v>
      </c>
      <c r="W275" s="10">
        <v>1</v>
      </c>
      <c r="X275" s="10">
        <v>1</v>
      </c>
      <c r="Y275" s="17" t="str">
        <f t="shared" si="85"/>
        <v>http://usfh.ch/img/Messer/5004.jpg</v>
      </c>
      <c r="Z275" s="10">
        <f t="shared" si="79"/>
        <v>5004</v>
      </c>
      <c r="AA275" s="13">
        <f t="shared" si="80"/>
        <v>646</v>
      </c>
      <c r="AB275" s="13">
        <f t="shared" si="81"/>
        <v>0</v>
      </c>
      <c r="AC275" s="10">
        <v>0.5</v>
      </c>
    </row>
    <row r="276" spans="1:29" s="14" customFormat="1" ht="15" customHeight="1" x14ac:dyDescent="0.25">
      <c r="A276" s="10">
        <v>275</v>
      </c>
      <c r="B276" s="10"/>
      <c r="C276" s="10"/>
      <c r="D276" s="10"/>
      <c r="E276" s="10"/>
      <c r="F276" s="10">
        <v>2</v>
      </c>
      <c r="G276" s="11">
        <v>5014</v>
      </c>
      <c r="H276" s="10">
        <v>1</v>
      </c>
      <c r="I276" s="16" t="s">
        <v>571</v>
      </c>
      <c r="J276" s="10" t="s">
        <v>30</v>
      </c>
      <c r="K276" s="10"/>
      <c r="L276" s="9">
        <v>336</v>
      </c>
      <c r="M276" s="10">
        <v>53</v>
      </c>
      <c r="N276" s="9"/>
      <c r="O276" s="10">
        <f t="shared" si="84"/>
        <v>5014</v>
      </c>
      <c r="P276" s="10" t="s">
        <v>321</v>
      </c>
      <c r="Q276" s="10" t="s">
        <v>321</v>
      </c>
      <c r="R276" s="12"/>
      <c r="S276" s="16" t="s">
        <v>572</v>
      </c>
      <c r="T276" s="10" t="str">
        <f t="shared" si="76"/>
        <v>TACTICAL EIGHT BK,Accueil,Messer plus,feste Klinge,PohlForce,PohlForce</v>
      </c>
      <c r="U276" s="10" t="str">
        <f t="shared" si="77"/>
        <v>TACTICAL EIGHT BK</v>
      </c>
      <c r="V276" s="10" t="str">
        <f t="shared" si="78"/>
        <v>TACTICAL EIGHT BK,Accueil,Messer plus,feste Klinge,PohlForce,PohlForce</v>
      </c>
      <c r="W276" s="10">
        <v>1</v>
      </c>
      <c r="X276" s="10">
        <v>1</v>
      </c>
      <c r="Y276" s="17" t="str">
        <f t="shared" si="85"/>
        <v>http://usfh.ch/img/Messer/5014.jpg</v>
      </c>
      <c r="Z276" s="10">
        <f t="shared" si="79"/>
        <v>5014</v>
      </c>
      <c r="AA276" s="13">
        <f t="shared" si="80"/>
        <v>672</v>
      </c>
      <c r="AB276" s="13">
        <f t="shared" si="81"/>
        <v>0</v>
      </c>
      <c r="AC276" s="10">
        <v>0.5</v>
      </c>
    </row>
    <row r="277" spans="1:29" s="14" customFormat="1" ht="15" customHeight="1" x14ac:dyDescent="0.25">
      <c r="A277" s="10">
        <v>276</v>
      </c>
      <c r="B277" s="10"/>
      <c r="C277" s="10"/>
      <c r="D277" s="10"/>
      <c r="E277" s="10"/>
      <c r="F277" s="10">
        <v>1</v>
      </c>
      <c r="G277" s="11">
        <v>1178</v>
      </c>
      <c r="H277" s="10">
        <v>1</v>
      </c>
      <c r="I277" s="16" t="s">
        <v>756</v>
      </c>
      <c r="J277" s="10" t="s">
        <v>27</v>
      </c>
      <c r="K277" s="10"/>
      <c r="L277" s="9">
        <v>189</v>
      </c>
      <c r="M277" s="10">
        <v>53</v>
      </c>
      <c r="N277" s="9">
        <v>77.5</v>
      </c>
      <c r="O277" s="10">
        <f t="shared" si="84"/>
        <v>1178</v>
      </c>
      <c r="P277" s="10" t="s">
        <v>321</v>
      </c>
      <c r="Q277" s="10" t="s">
        <v>321</v>
      </c>
      <c r="R277" s="12"/>
      <c r="S277" s="16" t="s">
        <v>758</v>
      </c>
      <c r="T277" s="10" t="str">
        <f t="shared" si="76"/>
        <v>Bravo Two Classic BK - SET,Accueil,Messer plus,Klappmesser,PohlForce,PohlForce</v>
      </c>
      <c r="U277" s="10" t="str">
        <f t="shared" si="77"/>
        <v>Bravo Two Classic BK - SET</v>
      </c>
      <c r="V277" s="10" t="str">
        <f t="shared" si="78"/>
        <v>Bravo Two Classic BK - SET,Accueil,Messer plus,Klappmesser,PohlForce,PohlForce</v>
      </c>
      <c r="W277" s="10">
        <v>1</v>
      </c>
      <c r="X277" s="10">
        <v>1</v>
      </c>
      <c r="Y277" s="17" t="str">
        <f t="shared" si="85"/>
        <v>http://usfh.ch/img/Messer/1178.jpg</v>
      </c>
      <c r="Z277" s="10">
        <f t="shared" si="79"/>
        <v>1178</v>
      </c>
      <c r="AA277" s="13">
        <f t="shared" si="80"/>
        <v>189</v>
      </c>
      <c r="AB277" s="13">
        <f t="shared" si="81"/>
        <v>77.5</v>
      </c>
      <c r="AC277" s="10">
        <v>0.5</v>
      </c>
    </row>
    <row r="278" spans="1:29" s="14" customFormat="1" ht="15" customHeight="1" x14ac:dyDescent="0.25">
      <c r="A278" s="10">
        <v>277</v>
      </c>
      <c r="B278" s="10"/>
      <c r="C278" s="10"/>
      <c r="D278" s="10"/>
      <c r="E278" s="10"/>
      <c r="F278" s="10">
        <v>2</v>
      </c>
      <c r="G278" s="11">
        <v>1179</v>
      </c>
      <c r="H278" s="10">
        <v>1</v>
      </c>
      <c r="I278" s="16" t="s">
        <v>757</v>
      </c>
      <c r="J278" s="10" t="s">
        <v>27</v>
      </c>
      <c r="K278" s="10"/>
      <c r="L278" s="9">
        <v>189</v>
      </c>
      <c r="M278" s="10">
        <v>53</v>
      </c>
      <c r="N278" s="9">
        <v>77.5</v>
      </c>
      <c r="O278" s="10">
        <f t="shared" si="84"/>
        <v>1179</v>
      </c>
      <c r="P278" s="10" t="s">
        <v>321</v>
      </c>
      <c r="Q278" s="10" t="s">
        <v>321</v>
      </c>
      <c r="R278" s="12"/>
      <c r="S278" s="16" t="s">
        <v>759</v>
      </c>
      <c r="T278" s="10" t="str">
        <f t="shared" si="76"/>
        <v>Bravo Two Classic FDE - SET,Accueil,Messer plus,Klappmesser,PohlForce,PohlForce</v>
      </c>
      <c r="U278" s="10" t="str">
        <f t="shared" si="77"/>
        <v>Bravo Two Classic FDE - SET</v>
      </c>
      <c r="V278" s="10" t="str">
        <f t="shared" si="78"/>
        <v>Bravo Two Classic FDE - SET,Accueil,Messer plus,Klappmesser,PohlForce,PohlForce</v>
      </c>
      <c r="W278" s="10">
        <v>1</v>
      </c>
      <c r="X278" s="10">
        <v>1</v>
      </c>
      <c r="Y278" s="17" t="str">
        <f t="shared" si="85"/>
        <v>http://usfh.ch/img/Messer/1179.jpg</v>
      </c>
      <c r="Z278" s="10">
        <f t="shared" si="79"/>
        <v>1179</v>
      </c>
      <c r="AA278" s="13">
        <f t="shared" si="80"/>
        <v>378</v>
      </c>
      <c r="AB278" s="13">
        <f t="shared" si="81"/>
        <v>155</v>
      </c>
      <c r="AC278" s="10">
        <v>0.5</v>
      </c>
    </row>
    <row r="279" spans="1:29" s="14" customFormat="1" ht="15" customHeight="1" x14ac:dyDescent="0.25">
      <c r="A279" s="10">
        <v>278</v>
      </c>
      <c r="B279" s="10"/>
      <c r="C279" s="10"/>
      <c r="D279" s="10"/>
      <c r="E279" s="10"/>
      <c r="F279" s="10">
        <v>1</v>
      </c>
      <c r="G279" s="11">
        <v>10204906000</v>
      </c>
      <c r="H279" s="10">
        <v>1</v>
      </c>
      <c r="I279" s="16" t="s">
        <v>774</v>
      </c>
      <c r="J279" s="10" t="s">
        <v>30</v>
      </c>
      <c r="K279" s="10"/>
      <c r="L279" s="9">
        <v>69</v>
      </c>
      <c r="M279" s="10">
        <v>53</v>
      </c>
      <c r="N279" s="9">
        <v>34.15</v>
      </c>
      <c r="O279" s="10">
        <f t="shared" si="84"/>
        <v>10204906000</v>
      </c>
      <c r="P279" s="10" t="s">
        <v>31</v>
      </c>
      <c r="Q279" s="10" t="s">
        <v>32</v>
      </c>
      <c r="R279" s="12"/>
      <c r="S279" s="16"/>
      <c r="T279" s="10" t="str">
        <f t="shared" si="76"/>
        <v>P38 Fixed Blade,Accueil,Messer plus,feste Klinge,Airsoft,Walther</v>
      </c>
      <c r="U279" s="10" t="str">
        <f t="shared" si="77"/>
        <v>P38 Fixed Blade</v>
      </c>
      <c r="V279" s="10" t="str">
        <f t="shared" si="78"/>
        <v>P38 Fixed Blade,Accueil,Messer plus,feste Klinge,Airsoft,Walther</v>
      </c>
      <c r="W279" s="10">
        <v>1</v>
      </c>
      <c r="X279" s="10">
        <v>1</v>
      </c>
      <c r="Y279" s="17" t="str">
        <f t="shared" si="85"/>
        <v>http://usfh.ch/img/Messer/10204906000.jpg</v>
      </c>
      <c r="Z279" s="10">
        <f t="shared" si="79"/>
        <v>10204906000</v>
      </c>
      <c r="AA279" s="13">
        <f t="shared" si="80"/>
        <v>69</v>
      </c>
      <c r="AB279" s="13">
        <f t="shared" si="81"/>
        <v>34.15</v>
      </c>
      <c r="AC279" s="10">
        <v>0.5</v>
      </c>
    </row>
    <row r="280" spans="1:29" s="14" customFormat="1" ht="15" customHeight="1" x14ac:dyDescent="0.25">
      <c r="A280" s="10">
        <v>279</v>
      </c>
      <c r="B280" s="10"/>
      <c r="C280" s="10"/>
      <c r="D280" s="10"/>
      <c r="E280" s="10"/>
      <c r="F280" s="10">
        <v>1</v>
      </c>
      <c r="G280" s="11" t="s">
        <v>775</v>
      </c>
      <c r="H280" s="10">
        <v>1</v>
      </c>
      <c r="I280" s="16" t="s">
        <v>777</v>
      </c>
      <c r="J280" s="10" t="s">
        <v>27</v>
      </c>
      <c r="K280" s="10"/>
      <c r="L280" s="9">
        <v>35</v>
      </c>
      <c r="M280" s="10">
        <v>53</v>
      </c>
      <c r="N280" s="9">
        <v>12.48</v>
      </c>
      <c r="O280" s="10" t="str">
        <f t="shared" si="84"/>
        <v>01FX030</v>
      </c>
      <c r="P280" s="10" t="s">
        <v>40</v>
      </c>
      <c r="Q280" s="10" t="s">
        <v>776</v>
      </c>
      <c r="R280" s="12"/>
      <c r="S280" s="16" t="s">
        <v>778</v>
      </c>
      <c r="T280" s="10" t="str">
        <f t="shared" si="76"/>
        <v>BlackFox F-434 G10,Accueil,Messer plus,Klappmesser,Böker,Blackfox</v>
      </c>
      <c r="U280" s="10" t="str">
        <f t="shared" si="77"/>
        <v>BlackFox F-434 G10</v>
      </c>
      <c r="V280" s="10" t="str">
        <f t="shared" si="78"/>
        <v>BlackFox F-434 G10,Accueil,Messer plus,Klappmesser,Böker,Blackfox</v>
      </c>
      <c r="W280" s="10">
        <v>1</v>
      </c>
      <c r="X280" s="10">
        <v>1</v>
      </c>
      <c r="Y280" s="17" t="str">
        <f t="shared" si="85"/>
        <v>http://usfh.ch/img/Messer/01FX030.jpg</v>
      </c>
      <c r="Z280" s="10" t="str">
        <f t="shared" si="79"/>
        <v>01FX030</v>
      </c>
      <c r="AA280" s="13">
        <f t="shared" si="80"/>
        <v>35</v>
      </c>
      <c r="AB280" s="13">
        <f t="shared" si="81"/>
        <v>12.48</v>
      </c>
      <c r="AC280" s="10">
        <v>0.5</v>
      </c>
    </row>
    <row r="281" spans="1:29" s="14" customFormat="1" ht="15" customHeight="1" x14ac:dyDescent="0.25">
      <c r="A281" s="10">
        <v>280</v>
      </c>
      <c r="B281" s="10"/>
      <c r="C281" s="10"/>
      <c r="D281" s="10"/>
      <c r="E281" s="10"/>
      <c r="F281" s="10">
        <v>1</v>
      </c>
      <c r="G281" s="11" t="s">
        <v>779</v>
      </c>
      <c r="H281" s="10">
        <v>1</v>
      </c>
      <c r="I281" s="16" t="s">
        <v>780</v>
      </c>
      <c r="J281" s="10" t="s">
        <v>27</v>
      </c>
      <c r="K281" s="10"/>
      <c r="L281" s="9">
        <v>179</v>
      </c>
      <c r="M281" s="10">
        <v>53</v>
      </c>
      <c r="N281" s="9">
        <v>74.48</v>
      </c>
      <c r="O281" s="10" t="str">
        <f t="shared" si="84"/>
        <v>01FX1138</v>
      </c>
      <c r="P281" s="10" t="s">
        <v>40</v>
      </c>
      <c r="Q281" s="10" t="s">
        <v>553</v>
      </c>
      <c r="R281" s="12"/>
      <c r="S281" s="16" t="s">
        <v>781</v>
      </c>
      <c r="T281" s="10" t="str">
        <f t="shared" si="76"/>
        <v>Fox Knives FX 599 Karambit The End N690 Aluminum,Accueil,Messer plus,Klappmesser,Böker,Fox</v>
      </c>
      <c r="U281" s="10" t="str">
        <f t="shared" si="77"/>
        <v>Fox Knives FX 599 Karambit The End N690 Aluminum</v>
      </c>
      <c r="V281" s="10" t="str">
        <f t="shared" si="78"/>
        <v>Fox Knives FX 599 Karambit The End N690 Aluminum,Accueil,Messer plus,Klappmesser,Böker,Fox</v>
      </c>
      <c r="W281" s="10">
        <v>1</v>
      </c>
      <c r="X281" s="10">
        <v>1</v>
      </c>
      <c r="Y281" s="17" t="str">
        <f t="shared" si="85"/>
        <v>http://usfh.ch/img/Messer/01FX1138.jpg</v>
      </c>
      <c r="Z281" s="10" t="str">
        <f t="shared" si="79"/>
        <v>01FX1138</v>
      </c>
      <c r="AA281" s="13">
        <f t="shared" si="80"/>
        <v>179</v>
      </c>
      <c r="AB281" s="13">
        <f t="shared" si="81"/>
        <v>74.48</v>
      </c>
      <c r="AC281" s="10">
        <v>0.5</v>
      </c>
    </row>
    <row r="282" spans="1:29" s="14" customFormat="1" ht="15" customHeight="1" x14ac:dyDescent="0.25">
      <c r="A282" s="10">
        <v>281</v>
      </c>
      <c r="B282" s="10"/>
      <c r="C282" s="10"/>
      <c r="D282" s="10"/>
      <c r="E282" s="10"/>
      <c r="F282" s="10">
        <v>1</v>
      </c>
      <c r="G282" s="11" t="s">
        <v>782</v>
      </c>
      <c r="H282" s="10">
        <v>1</v>
      </c>
      <c r="I282" s="16" t="s">
        <v>783</v>
      </c>
      <c r="J282" s="10" t="s">
        <v>27</v>
      </c>
      <c r="K282" s="10"/>
      <c r="L282" s="9">
        <v>179</v>
      </c>
      <c r="M282" s="10">
        <v>53</v>
      </c>
      <c r="N282" s="9">
        <v>74.48</v>
      </c>
      <c r="O282" s="10" t="str">
        <f t="shared" si="84"/>
        <v>01FX1139</v>
      </c>
      <c r="P282" s="10" t="s">
        <v>40</v>
      </c>
      <c r="Q282" s="10" t="s">
        <v>553</v>
      </c>
      <c r="R282" s="12"/>
      <c r="S282" s="16" t="s">
        <v>781</v>
      </c>
      <c r="T282" s="10" t="str">
        <f t="shared" si="76"/>
        <v>Fox Knives FX 599 Karambit The Skull N690 Aluminum,Accueil,Messer plus,Klappmesser,Böker,Fox</v>
      </c>
      <c r="U282" s="10" t="str">
        <f t="shared" si="77"/>
        <v>Fox Knives FX 599 Karambit The Skull N690 Aluminum</v>
      </c>
      <c r="V282" s="10" t="str">
        <f t="shared" si="78"/>
        <v>Fox Knives FX 599 Karambit The Skull N690 Aluminum,Accueil,Messer plus,Klappmesser,Böker,Fox</v>
      </c>
      <c r="W282" s="10">
        <v>1</v>
      </c>
      <c r="X282" s="10">
        <v>1</v>
      </c>
      <c r="Y282" s="17" t="str">
        <f t="shared" si="85"/>
        <v>http://usfh.ch/img/Messer/01FX1139.jpg</v>
      </c>
      <c r="Z282" s="10" t="str">
        <f t="shared" si="79"/>
        <v>01FX1139</v>
      </c>
      <c r="AA282" s="13">
        <f t="shared" si="80"/>
        <v>179</v>
      </c>
      <c r="AB282" s="13">
        <f t="shared" si="81"/>
        <v>74.48</v>
      </c>
      <c r="AC282" s="10">
        <v>0.5</v>
      </c>
    </row>
    <row r="283" spans="1:29" s="14" customFormat="1" ht="15" customHeight="1" x14ac:dyDescent="0.25">
      <c r="A283" s="10">
        <v>282</v>
      </c>
      <c r="B283" s="10"/>
      <c r="C283" s="10"/>
      <c r="D283" s="10"/>
      <c r="E283" s="10"/>
      <c r="F283" s="10">
        <v>1</v>
      </c>
      <c r="G283" s="11" t="s">
        <v>784</v>
      </c>
      <c r="H283" s="10">
        <v>1</v>
      </c>
      <c r="I283" s="16" t="s">
        <v>785</v>
      </c>
      <c r="J283" s="10" t="s">
        <v>27</v>
      </c>
      <c r="K283" s="10"/>
      <c r="L283" s="9">
        <v>179</v>
      </c>
      <c r="M283" s="10">
        <v>53</v>
      </c>
      <c r="N283" s="9">
        <v>74.48</v>
      </c>
      <c r="O283" s="10" t="str">
        <f t="shared" si="84"/>
        <v>01FX1140</v>
      </c>
      <c r="P283" s="10" t="s">
        <v>40</v>
      </c>
      <c r="Q283" s="10" t="s">
        <v>553</v>
      </c>
      <c r="R283" s="12"/>
      <c r="S283" s="16" t="s">
        <v>781</v>
      </c>
      <c r="T283" s="10" t="str">
        <f t="shared" si="76"/>
        <v>Fox Knives FX 599 Karambit The Skulls N690 Aluminum,Accueil,Messer plus,Klappmesser,Böker,Fox</v>
      </c>
      <c r="U283" s="10" t="str">
        <f t="shared" si="77"/>
        <v>Fox Knives FX 599 Karambit The Skulls N690 Aluminum</v>
      </c>
      <c r="V283" s="10" t="str">
        <f t="shared" si="78"/>
        <v>Fox Knives FX 599 Karambit The Skulls N690 Aluminum,Accueil,Messer plus,Klappmesser,Böker,Fox</v>
      </c>
      <c r="W283" s="10">
        <v>1</v>
      </c>
      <c r="X283" s="10">
        <v>1</v>
      </c>
      <c r="Y283" s="17" t="str">
        <f t="shared" si="85"/>
        <v>http://usfh.ch/img/Messer/01FX1140.jpg</v>
      </c>
      <c r="Z283" s="10" t="str">
        <f t="shared" si="79"/>
        <v>01FX1140</v>
      </c>
      <c r="AA283" s="13">
        <f t="shared" si="80"/>
        <v>179</v>
      </c>
      <c r="AB283" s="13">
        <f t="shared" si="81"/>
        <v>74.48</v>
      </c>
      <c r="AC283" s="10">
        <v>0.5</v>
      </c>
    </row>
    <row r="284" spans="1:29" s="14" customFormat="1" ht="15" customHeight="1" x14ac:dyDescent="0.25">
      <c r="A284" s="10">
        <v>283</v>
      </c>
      <c r="B284" s="10"/>
      <c r="C284" s="10"/>
      <c r="D284" s="10"/>
      <c r="E284" s="10"/>
      <c r="F284" s="10">
        <v>2</v>
      </c>
      <c r="G284" s="11" t="s">
        <v>786</v>
      </c>
      <c r="H284" s="10">
        <v>1</v>
      </c>
      <c r="I284" s="16" t="s">
        <v>787</v>
      </c>
      <c r="J284" s="10" t="s">
        <v>27</v>
      </c>
      <c r="K284" s="10"/>
      <c r="L284" s="9">
        <v>59</v>
      </c>
      <c r="M284" s="10">
        <v>53</v>
      </c>
      <c r="N284" s="9">
        <v>22.98</v>
      </c>
      <c r="O284" s="10" t="str">
        <f t="shared" si="84"/>
        <v>01FX1146</v>
      </c>
      <c r="P284" s="10" t="s">
        <v>40</v>
      </c>
      <c r="Q284" s="10" t="s">
        <v>776</v>
      </c>
      <c r="R284" s="12"/>
      <c r="S284" s="16" t="s">
        <v>788</v>
      </c>
      <c r="T284" s="10" t="str">
        <f t="shared" si="76"/>
        <v>BlackFox Demand D2 Orange Alumium,Accueil,Messer plus,Klappmesser,Böker,Blackfox</v>
      </c>
      <c r="U284" s="10" t="str">
        <f t="shared" si="77"/>
        <v>BlackFox Demand D2 Orange Alumium</v>
      </c>
      <c r="V284" s="10" t="str">
        <f t="shared" si="78"/>
        <v>BlackFox Demand D2 Orange Alumium,Accueil,Messer plus,Klappmesser,Böker,Blackfox</v>
      </c>
      <c r="W284" s="10">
        <v>1</v>
      </c>
      <c r="X284" s="10">
        <v>1</v>
      </c>
      <c r="Y284" s="17" t="str">
        <f t="shared" si="85"/>
        <v>http://usfh.ch/img/Messer/01FX1146.jpg</v>
      </c>
      <c r="Z284" s="10" t="str">
        <f t="shared" si="79"/>
        <v>01FX1146</v>
      </c>
      <c r="AA284" s="13">
        <f t="shared" si="80"/>
        <v>118</v>
      </c>
      <c r="AB284" s="13">
        <f t="shared" si="81"/>
        <v>45.96</v>
      </c>
      <c r="AC284" s="10">
        <v>0.5</v>
      </c>
    </row>
    <row r="285" spans="1:29" s="14" customFormat="1" ht="15" customHeight="1" x14ac:dyDescent="0.25">
      <c r="A285" s="10">
        <v>284</v>
      </c>
      <c r="B285" s="10"/>
      <c r="C285" s="10"/>
      <c r="D285" s="10"/>
      <c r="E285" s="10"/>
      <c r="F285" s="10">
        <v>2</v>
      </c>
      <c r="G285" s="11" t="s">
        <v>789</v>
      </c>
      <c r="H285" s="10">
        <v>1</v>
      </c>
      <c r="I285" s="16" t="s">
        <v>790</v>
      </c>
      <c r="J285" s="10" t="s">
        <v>27</v>
      </c>
      <c r="K285" s="10"/>
      <c r="L285" s="9">
        <v>25</v>
      </c>
      <c r="M285" s="10">
        <v>53</v>
      </c>
      <c r="N285" s="9">
        <v>10.98</v>
      </c>
      <c r="O285" s="10" t="str">
        <f t="shared" si="84"/>
        <v>04PX003</v>
      </c>
      <c r="P285" s="10" t="s">
        <v>40</v>
      </c>
      <c r="Q285" s="10" t="s">
        <v>792</v>
      </c>
      <c r="R285" s="12"/>
      <c r="S285" s="16" t="s">
        <v>791</v>
      </c>
      <c r="T285" s="10" t="str">
        <f t="shared" si="76"/>
        <v>Premax Ringlock Nagelknipser,Accueil,Messer plus,Klappmesser,Böker,Premax</v>
      </c>
      <c r="U285" s="10" t="str">
        <f t="shared" si="77"/>
        <v>Premax Ringlock Nagelknipser</v>
      </c>
      <c r="V285" s="10" t="str">
        <f t="shared" si="78"/>
        <v>Premax Ringlock Nagelknipser,Accueil,Messer plus,Klappmesser,Böker,Premax</v>
      </c>
      <c r="W285" s="10">
        <v>1</v>
      </c>
      <c r="X285" s="10">
        <v>1</v>
      </c>
      <c r="Y285" s="17" t="str">
        <f t="shared" si="85"/>
        <v>http://usfh.ch/img/Messer/04PX003.jpg</v>
      </c>
      <c r="Z285" s="10" t="str">
        <f t="shared" si="79"/>
        <v>04PX003</v>
      </c>
      <c r="AA285" s="13">
        <f t="shared" si="80"/>
        <v>50</v>
      </c>
      <c r="AB285" s="13">
        <f t="shared" si="81"/>
        <v>21.96</v>
      </c>
      <c r="AC285" s="10">
        <v>0.5</v>
      </c>
    </row>
    <row r="286" spans="1:29" s="14" customFormat="1" ht="15" customHeight="1" x14ac:dyDescent="0.25">
      <c r="A286" s="10">
        <v>285</v>
      </c>
      <c r="B286" s="10"/>
      <c r="C286" s="10"/>
      <c r="D286" s="10"/>
      <c r="E286" s="10"/>
      <c r="F286" s="10">
        <v>1</v>
      </c>
      <c r="G286" s="11">
        <v>41493</v>
      </c>
      <c r="H286" s="10">
        <v>1</v>
      </c>
      <c r="I286" s="16" t="s">
        <v>793</v>
      </c>
      <c r="J286" s="10" t="s">
        <v>30</v>
      </c>
      <c r="K286" s="10"/>
      <c r="L286" s="9">
        <v>99</v>
      </c>
      <c r="M286" s="10">
        <v>53</v>
      </c>
      <c r="N286" s="9">
        <v>42.95</v>
      </c>
      <c r="O286" s="10">
        <f t="shared" si="84"/>
        <v>41493</v>
      </c>
      <c r="P286" s="10" t="s">
        <v>44</v>
      </c>
      <c r="Q286" s="10" t="s">
        <v>209</v>
      </c>
      <c r="R286" s="12"/>
      <c r="S286" s="16" t="s">
        <v>794</v>
      </c>
      <c r="T286" s="10" t="str">
        <f t="shared" si="76"/>
        <v>BlackField Carrier F 35 Spear Point Klinge,Accueil,Messer plus,feste Klinge,Haller,Blackfield</v>
      </c>
      <c r="U286" s="10" t="str">
        <f t="shared" si="77"/>
        <v>BlackField Carrier F 35 Spear Point Klinge</v>
      </c>
      <c r="V286" s="10" t="str">
        <f t="shared" si="78"/>
        <v>BlackField Carrier F 35 Spear Point Klinge,Accueil,Messer plus,feste Klinge,Haller,Blackfield</v>
      </c>
      <c r="W286" s="10">
        <v>1</v>
      </c>
      <c r="X286" s="10">
        <v>1</v>
      </c>
      <c r="Y286" s="17" t="str">
        <f t="shared" si="85"/>
        <v>http://usfh.ch/img/Messer/41493.jpg</v>
      </c>
      <c r="Z286" s="10">
        <f t="shared" si="79"/>
        <v>41493</v>
      </c>
      <c r="AA286" s="13">
        <f t="shared" si="80"/>
        <v>99</v>
      </c>
      <c r="AB286" s="13">
        <f t="shared" si="81"/>
        <v>42.95</v>
      </c>
      <c r="AC286" s="10">
        <v>0.5</v>
      </c>
    </row>
    <row r="287" spans="1:29" s="14" customFormat="1" ht="15" customHeight="1" x14ac:dyDescent="0.25">
      <c r="A287" s="10">
        <v>286</v>
      </c>
      <c r="B287" s="10"/>
      <c r="C287" s="10"/>
      <c r="D287" s="10"/>
      <c r="E287" s="10"/>
      <c r="F287" s="10">
        <v>2</v>
      </c>
      <c r="G287" s="11">
        <v>88035</v>
      </c>
      <c r="H287" s="10">
        <v>1</v>
      </c>
      <c r="I287" s="16" t="s">
        <v>795</v>
      </c>
      <c r="J287" s="10" t="s">
        <v>27</v>
      </c>
      <c r="K287" s="10"/>
      <c r="L287" s="9">
        <v>49</v>
      </c>
      <c r="M287" s="10">
        <v>53</v>
      </c>
      <c r="N287" s="9">
        <v>14.95</v>
      </c>
      <c r="O287" s="10">
        <f t="shared" si="84"/>
        <v>88035</v>
      </c>
      <c r="P287" s="10" t="s">
        <v>44</v>
      </c>
      <c r="Q287" s="10" t="s">
        <v>209</v>
      </c>
      <c r="R287" s="12"/>
      <c r="S287" s="16" t="s">
        <v>796</v>
      </c>
      <c r="T287" s="10" t="str">
        <f t="shared" si="76"/>
        <v>BlackField STINGRAY Ø2,Accueil,Messer plus,Klappmesser,Haller,Blackfield</v>
      </c>
      <c r="U287" s="10" t="str">
        <f t="shared" si="77"/>
        <v>BlackField STINGRAY Ø2</v>
      </c>
      <c r="V287" s="10" t="str">
        <f t="shared" si="78"/>
        <v>BlackField STINGRAY Ø2,Accueil,Messer plus,Klappmesser,Haller,Blackfield</v>
      </c>
      <c r="W287" s="10">
        <v>1</v>
      </c>
      <c r="X287" s="10">
        <v>1</v>
      </c>
      <c r="Y287" s="17" t="str">
        <f t="shared" si="85"/>
        <v>http://usfh.ch/img/Messer/88035.jpg</v>
      </c>
      <c r="Z287" s="10">
        <f t="shared" si="79"/>
        <v>88035</v>
      </c>
      <c r="AA287" s="13">
        <f t="shared" si="80"/>
        <v>98</v>
      </c>
      <c r="AB287" s="13">
        <f t="shared" si="81"/>
        <v>29.9</v>
      </c>
      <c r="AC287" s="10">
        <v>0.5</v>
      </c>
    </row>
    <row r="288" spans="1:29" s="14" customFormat="1" ht="15" customHeight="1" x14ac:dyDescent="0.25">
      <c r="A288" s="10">
        <v>287</v>
      </c>
      <c r="B288" s="10"/>
      <c r="C288" s="10"/>
      <c r="D288" s="10"/>
      <c r="E288" s="10"/>
      <c r="F288" s="10">
        <v>1</v>
      </c>
      <c r="G288" s="11">
        <v>10570600000</v>
      </c>
      <c r="H288" s="10">
        <v>1</v>
      </c>
      <c r="I288" s="16" t="s">
        <v>797</v>
      </c>
      <c r="J288" s="10" t="s">
        <v>27</v>
      </c>
      <c r="K288" s="10"/>
      <c r="L288" s="9">
        <v>49</v>
      </c>
      <c r="M288" s="10">
        <v>53</v>
      </c>
      <c r="N288" s="9">
        <v>23.95</v>
      </c>
      <c r="O288" s="10">
        <f t="shared" si="84"/>
        <v>10570600000</v>
      </c>
      <c r="P288" s="10" t="s">
        <v>31</v>
      </c>
      <c r="Q288" s="10" t="s">
        <v>35</v>
      </c>
      <c r="R288" s="12"/>
      <c r="S288" s="16" t="s">
        <v>798</v>
      </c>
      <c r="T288" s="10" t="str">
        <f t="shared" si="76"/>
        <v>Border Guard SWBG10S Serrated Tanto Folder,Accueil,Messer plus,Klappmesser,Airsoft,Smith &amp; Wesson</v>
      </c>
      <c r="U288" s="10" t="str">
        <f t="shared" si="77"/>
        <v>Border Guard SWBG10S Serrated Tanto Folder</v>
      </c>
      <c r="V288" s="10" t="str">
        <f t="shared" si="78"/>
        <v>Border Guard SWBG10S Serrated Tanto Folder,Accueil,Messer plus,Klappmesser,Airsoft,Smith &amp; Wesson</v>
      </c>
      <c r="W288" s="10">
        <v>1</v>
      </c>
      <c r="X288" s="10">
        <v>1</v>
      </c>
      <c r="Y288" s="17" t="str">
        <f t="shared" si="85"/>
        <v>http://usfh.ch/img/Messer/10570600000.jpg</v>
      </c>
      <c r="Z288" s="10">
        <f t="shared" si="79"/>
        <v>10570600000</v>
      </c>
      <c r="AA288" s="13">
        <f t="shared" si="80"/>
        <v>49</v>
      </c>
      <c r="AB288" s="13">
        <f t="shared" si="81"/>
        <v>23.95</v>
      </c>
      <c r="AC288" s="10">
        <v>0.5</v>
      </c>
    </row>
    <row r="289" spans="1:29" s="14" customFormat="1" ht="15" customHeight="1" x14ac:dyDescent="0.25">
      <c r="A289" s="10">
        <v>288</v>
      </c>
      <c r="B289" s="10"/>
      <c r="C289" s="10"/>
      <c r="D289" s="10"/>
      <c r="E289" s="10"/>
      <c r="F289" s="10">
        <v>1</v>
      </c>
      <c r="G289" s="11">
        <v>11367506000</v>
      </c>
      <c r="H289" s="10">
        <v>1</v>
      </c>
      <c r="I289" s="16" t="s">
        <v>799</v>
      </c>
      <c r="J289" s="10" t="s">
        <v>30</v>
      </c>
      <c r="K289" s="10"/>
      <c r="L289" s="9">
        <v>99</v>
      </c>
      <c r="M289" s="10">
        <v>53</v>
      </c>
      <c r="N289" s="9">
        <v>14.95</v>
      </c>
      <c r="O289" s="10">
        <f t="shared" si="84"/>
        <v>11367506000</v>
      </c>
      <c r="P289" s="10" t="s">
        <v>31</v>
      </c>
      <c r="Q289" s="10" t="s">
        <v>32</v>
      </c>
      <c r="R289" s="12"/>
      <c r="S289" s="16" t="s">
        <v>800</v>
      </c>
      <c r="T289" s="10" t="str">
        <f t="shared" si="76"/>
        <v>Modified Survival Machete,Accueil,Messer plus,feste Klinge,Airsoft,Walther</v>
      </c>
      <c r="U289" s="10" t="str">
        <f t="shared" si="77"/>
        <v>Modified Survival Machete</v>
      </c>
      <c r="V289" s="10" t="str">
        <f t="shared" si="78"/>
        <v>Modified Survival Machete,Accueil,Messer plus,feste Klinge,Airsoft,Walther</v>
      </c>
      <c r="W289" s="10">
        <v>1</v>
      </c>
      <c r="X289" s="10">
        <v>1</v>
      </c>
      <c r="Y289" s="17" t="str">
        <f t="shared" si="85"/>
        <v>http://usfh.ch/img/Messer/11367506000.jpg</v>
      </c>
      <c r="Z289" s="10">
        <f t="shared" si="79"/>
        <v>11367506000</v>
      </c>
      <c r="AA289" s="13">
        <f t="shared" si="80"/>
        <v>99</v>
      </c>
      <c r="AB289" s="13">
        <f t="shared" si="81"/>
        <v>14.95</v>
      </c>
      <c r="AC289" s="10">
        <v>0.5</v>
      </c>
    </row>
    <row r="290" spans="1:29" s="14" customFormat="1" ht="15" customHeight="1" x14ac:dyDescent="0.25">
      <c r="A290" s="10">
        <v>289</v>
      </c>
      <c r="B290" s="10"/>
      <c r="C290" s="10"/>
      <c r="D290" s="10"/>
      <c r="E290" s="10"/>
      <c r="F290" s="10">
        <v>2</v>
      </c>
      <c r="G290" s="11">
        <v>10510900000</v>
      </c>
      <c r="H290" s="10">
        <v>1</v>
      </c>
      <c r="I290" s="16" t="s">
        <v>801</v>
      </c>
      <c r="J290" s="10" t="s">
        <v>27</v>
      </c>
      <c r="K290" s="10"/>
      <c r="L290" s="9">
        <v>35</v>
      </c>
      <c r="M290" s="10">
        <v>53</v>
      </c>
      <c r="N290" s="9">
        <v>14.95</v>
      </c>
      <c r="O290" s="10">
        <f t="shared" si="84"/>
        <v>10510900000</v>
      </c>
      <c r="P290" s="10" t="s">
        <v>31</v>
      </c>
      <c r="Q290" s="10" t="s">
        <v>286</v>
      </c>
      <c r="R290" s="12"/>
      <c r="S290" s="16" t="s">
        <v>802</v>
      </c>
      <c r="T290" s="10" t="str">
        <f t="shared" si="76"/>
        <v>EF133 Folder,Accueil,Messer plus,Klappmesser,Airsoft,Elite Force</v>
      </c>
      <c r="U290" s="10" t="str">
        <f t="shared" si="77"/>
        <v>EF133 Folder</v>
      </c>
      <c r="V290" s="10" t="str">
        <f t="shared" si="78"/>
        <v>EF133 Folder,Accueil,Messer plus,Klappmesser,Airsoft,Elite Force</v>
      </c>
      <c r="W290" s="10">
        <v>1</v>
      </c>
      <c r="X290" s="10">
        <v>1</v>
      </c>
      <c r="Y290" s="17" t="str">
        <f t="shared" si="85"/>
        <v>http://usfh.ch/img/Messer/10510900000.jpg</v>
      </c>
      <c r="Z290" s="10">
        <f t="shared" si="79"/>
        <v>10510900000</v>
      </c>
      <c r="AA290" s="13">
        <f t="shared" si="80"/>
        <v>70</v>
      </c>
      <c r="AB290" s="13">
        <f t="shared" si="81"/>
        <v>29.9</v>
      </c>
      <c r="AC290" s="10">
        <v>0.5</v>
      </c>
    </row>
    <row r="291" spans="1:29" s="14" customFormat="1" ht="15" customHeight="1" x14ac:dyDescent="0.25">
      <c r="A291" s="10">
        <v>290</v>
      </c>
      <c r="B291" s="10"/>
      <c r="C291" s="10"/>
      <c r="D291" s="10"/>
      <c r="E291" s="10"/>
      <c r="F291" s="10">
        <v>1</v>
      </c>
      <c r="G291" s="11">
        <v>11292222000</v>
      </c>
      <c r="H291" s="10">
        <v>1</v>
      </c>
      <c r="I291" s="16" t="s">
        <v>803</v>
      </c>
      <c r="J291" s="10" t="s">
        <v>27</v>
      </c>
      <c r="K291" s="10"/>
      <c r="L291" s="9">
        <v>49</v>
      </c>
      <c r="M291" s="10">
        <v>53</v>
      </c>
      <c r="N291" s="9">
        <v>14.95</v>
      </c>
      <c r="O291" s="10">
        <f t="shared" si="84"/>
        <v>11292222000</v>
      </c>
      <c r="P291" s="10" t="s">
        <v>31</v>
      </c>
      <c r="Q291" s="10" t="s">
        <v>804</v>
      </c>
      <c r="R291" s="12"/>
      <c r="S291" s="16" t="s">
        <v>805</v>
      </c>
      <c r="T291" s="10" t="str">
        <f t="shared" si="76"/>
        <v>Shuffle II Linerlock Folder,Accueil,Messer plus,Klappmesser,Airsoft,Kershaw</v>
      </c>
      <c r="U291" s="10" t="str">
        <f t="shared" si="77"/>
        <v>Shuffle II Linerlock Folder</v>
      </c>
      <c r="V291" s="10" t="str">
        <f t="shared" si="78"/>
        <v>Shuffle II Linerlock Folder,Accueil,Messer plus,Klappmesser,Airsoft,Kershaw</v>
      </c>
      <c r="W291" s="10">
        <v>1</v>
      </c>
      <c r="X291" s="10">
        <v>1</v>
      </c>
      <c r="Y291" s="17" t="str">
        <f t="shared" si="85"/>
        <v>http://usfh.ch/img/Messer/11292222000.jpg</v>
      </c>
      <c r="Z291" s="10">
        <f t="shared" si="79"/>
        <v>11292222000</v>
      </c>
      <c r="AA291" s="13">
        <f t="shared" si="80"/>
        <v>49</v>
      </c>
      <c r="AB291" s="13">
        <f t="shared" si="81"/>
        <v>14.95</v>
      </c>
      <c r="AC291" s="10">
        <v>0.5</v>
      </c>
    </row>
    <row r="292" spans="1:29" s="14" customFormat="1" ht="15" customHeight="1" x14ac:dyDescent="0.25">
      <c r="A292" s="10">
        <v>291</v>
      </c>
      <c r="B292" s="10"/>
      <c r="C292" s="10"/>
      <c r="D292" s="10"/>
      <c r="E292" s="10"/>
      <c r="F292" s="10">
        <v>1</v>
      </c>
      <c r="G292" s="11" t="s">
        <v>808</v>
      </c>
      <c r="H292" s="10">
        <v>1</v>
      </c>
      <c r="I292" s="16" t="s">
        <v>809</v>
      </c>
      <c r="J292" s="10" t="s">
        <v>27</v>
      </c>
      <c r="K292" s="10"/>
      <c r="L292" s="9">
        <v>35</v>
      </c>
      <c r="M292" s="10">
        <v>53</v>
      </c>
      <c r="N292" s="9">
        <v>10.48</v>
      </c>
      <c r="O292" s="10" t="str">
        <f t="shared" si="84"/>
        <v>01dmax003</v>
      </c>
      <c r="P292" s="10" t="s">
        <v>40</v>
      </c>
      <c r="Q292" s="10" t="s">
        <v>856</v>
      </c>
      <c r="R292" s="12"/>
      <c r="S292" s="16" t="s">
        <v>810</v>
      </c>
      <c r="T292" s="10" t="str">
        <f t="shared" si="76"/>
        <v>DMAX Medic,Accueil,Messer plus,Klappmesser,Böker,dmax</v>
      </c>
      <c r="U292" s="10" t="str">
        <f t="shared" si="77"/>
        <v>DMAX Medic</v>
      </c>
      <c r="V292" s="10" t="str">
        <f t="shared" si="78"/>
        <v>DMAX Medic,Accueil,Messer plus,Klappmesser,Böker,dmax</v>
      </c>
      <c r="W292" s="10">
        <v>1</v>
      </c>
      <c r="X292" s="10">
        <v>1</v>
      </c>
      <c r="Y292" s="17" t="str">
        <f t="shared" si="85"/>
        <v>http://usfh.ch/img/Messer/01dmax003.jpg</v>
      </c>
      <c r="Z292" s="10" t="str">
        <f t="shared" si="79"/>
        <v>01dmax003</v>
      </c>
      <c r="AA292" s="13">
        <f t="shared" si="80"/>
        <v>35</v>
      </c>
      <c r="AB292" s="13">
        <f t="shared" si="81"/>
        <v>10.48</v>
      </c>
      <c r="AC292" s="10">
        <v>0.5</v>
      </c>
    </row>
    <row r="293" spans="1:29" s="14" customFormat="1" ht="15" customHeight="1" x14ac:dyDescent="0.25">
      <c r="A293" s="10">
        <v>292</v>
      </c>
      <c r="B293" s="10"/>
      <c r="C293" s="10"/>
      <c r="D293" s="10"/>
      <c r="E293" s="10"/>
      <c r="F293" s="10">
        <v>2</v>
      </c>
      <c r="G293" s="11" t="s">
        <v>811</v>
      </c>
      <c r="H293" s="10">
        <v>1</v>
      </c>
      <c r="I293" s="16" t="s">
        <v>812</v>
      </c>
      <c r="J293" s="10" t="s">
        <v>30</v>
      </c>
      <c r="K293" s="10"/>
      <c r="L293" s="9">
        <v>55</v>
      </c>
      <c r="M293" s="10">
        <v>53</v>
      </c>
      <c r="N293" s="9">
        <v>15.98</v>
      </c>
      <c r="O293" s="10" t="str">
        <f t="shared" si="84"/>
        <v>02dmax002</v>
      </c>
      <c r="P293" s="10" t="s">
        <v>40</v>
      </c>
      <c r="Q293" s="10" t="s">
        <v>856</v>
      </c>
      <c r="R293" s="12"/>
      <c r="S293" s="16" t="s">
        <v>813</v>
      </c>
      <c r="T293" s="10" t="str">
        <f t="shared" ref="T293:T313" si="86">$I293 &amp; "," &amp; $J293 &amp;"," &amp; $P293 &amp;","&amp; $Q293</f>
        <v>DMAX Elk Hunter,Accueil,Messer plus,feste Klinge,Böker,dmax</v>
      </c>
      <c r="U293" s="10" t="str">
        <f t="shared" ref="U293:U313" si="87">I293</f>
        <v>DMAX Elk Hunter</v>
      </c>
      <c r="V293" s="10" t="str">
        <f t="shared" ref="V293:V313" si="88">T293</f>
        <v>DMAX Elk Hunter,Accueil,Messer plus,feste Klinge,Böker,dmax</v>
      </c>
      <c r="W293" s="10">
        <v>1</v>
      </c>
      <c r="X293" s="10">
        <v>1</v>
      </c>
      <c r="Y293" s="17" t="str">
        <f t="shared" si="85"/>
        <v>http://usfh.ch/img/Messer/02dmax002.jpg</v>
      </c>
      <c r="Z293" s="10" t="str">
        <f t="shared" ref="Z293:Z313" si="89">G293</f>
        <v>02dmax002</v>
      </c>
      <c r="AA293" s="13">
        <f t="shared" ref="AA293:AA313" si="90">F293*L293</f>
        <v>110</v>
      </c>
      <c r="AB293" s="13">
        <f t="shared" ref="AB293:AB313" si="91">F293*N293</f>
        <v>31.96</v>
      </c>
      <c r="AC293" s="10">
        <v>0.5</v>
      </c>
    </row>
    <row r="294" spans="1:29" s="14" customFormat="1" ht="15" customHeight="1" x14ac:dyDescent="0.25">
      <c r="A294" s="10">
        <v>293</v>
      </c>
      <c r="B294" s="10"/>
      <c r="C294" s="10"/>
      <c r="D294" s="10"/>
      <c r="E294" s="10"/>
      <c r="F294" s="10">
        <v>1</v>
      </c>
      <c r="G294" s="11" t="s">
        <v>814</v>
      </c>
      <c r="H294" s="10">
        <v>1</v>
      </c>
      <c r="I294" s="15" t="s">
        <v>815</v>
      </c>
      <c r="J294" s="10" t="s">
        <v>27</v>
      </c>
      <c r="K294" s="10"/>
      <c r="L294" s="9">
        <v>35</v>
      </c>
      <c r="M294" s="10">
        <v>53</v>
      </c>
      <c r="N294" s="9">
        <v>8.48</v>
      </c>
      <c r="O294" s="10" t="str">
        <f t="shared" si="84"/>
        <v>01Ry126</v>
      </c>
      <c r="P294" s="10" t="s">
        <v>40</v>
      </c>
      <c r="Q294" s="10" t="s">
        <v>40</v>
      </c>
      <c r="R294" s="12"/>
      <c r="S294" s="16" t="s">
        <v>816</v>
      </c>
      <c r="T294" s="10" t="str">
        <f t="shared" si="86"/>
        <v>Magnum Slender
,Accueil,Messer plus,Klappmesser,Böker,Böker</v>
      </c>
      <c r="U294" s="10" t="str">
        <f t="shared" si="87"/>
        <v xml:space="preserve">Magnum Slender
</v>
      </c>
      <c r="V294" s="10" t="str">
        <f t="shared" si="88"/>
        <v>Magnum Slender
,Accueil,Messer plus,Klappmesser,Böker,Böker</v>
      </c>
      <c r="W294" s="10">
        <v>1</v>
      </c>
      <c r="X294" s="10">
        <v>1</v>
      </c>
      <c r="Y294" s="17" t="str">
        <f t="shared" si="85"/>
        <v>http://usfh.ch/img/Messer/01Ry126.jpg</v>
      </c>
      <c r="Z294" s="10" t="str">
        <f t="shared" si="89"/>
        <v>01Ry126</v>
      </c>
      <c r="AA294" s="13">
        <f t="shared" si="90"/>
        <v>35</v>
      </c>
      <c r="AB294" s="13">
        <f t="shared" si="91"/>
        <v>8.48</v>
      </c>
      <c r="AC294" s="10">
        <v>0.5</v>
      </c>
    </row>
    <row r="295" spans="1:29" s="14" customFormat="1" ht="15" customHeight="1" x14ac:dyDescent="0.25">
      <c r="A295" s="10">
        <v>294</v>
      </c>
      <c r="B295" s="10"/>
      <c r="C295" s="10"/>
      <c r="D295" s="10"/>
      <c r="E295" s="10"/>
      <c r="F295" s="10">
        <v>2</v>
      </c>
      <c r="G295" s="15" t="s">
        <v>818</v>
      </c>
      <c r="H295" s="10">
        <v>1</v>
      </c>
      <c r="I295" s="15" t="s">
        <v>817</v>
      </c>
      <c r="J295" s="10" t="s">
        <v>27</v>
      </c>
      <c r="K295" s="10"/>
      <c r="L295" s="9">
        <v>49</v>
      </c>
      <c r="M295" s="10">
        <v>53</v>
      </c>
      <c r="N295" s="9">
        <v>16.73</v>
      </c>
      <c r="O295" s="10" t="str">
        <f t="shared" si="84"/>
        <v xml:space="preserve">1SC712
</v>
      </c>
      <c r="P295" s="10" t="s">
        <v>40</v>
      </c>
      <c r="Q295" s="10" t="s">
        <v>40</v>
      </c>
      <c r="R295" s="12"/>
      <c r="S295" s="16" t="s">
        <v>816</v>
      </c>
      <c r="T295" s="10" t="str">
        <f t="shared" si="86"/>
        <v>Magnum Gray Eminence
,Accueil,Messer plus,Klappmesser,Böker,Böker</v>
      </c>
      <c r="U295" s="10" t="str">
        <f t="shared" si="87"/>
        <v xml:space="preserve">Magnum Gray Eminence
</v>
      </c>
      <c r="V295" s="10" t="str">
        <f t="shared" si="88"/>
        <v>Magnum Gray Eminence
,Accueil,Messer plus,Klappmesser,Böker,Böker</v>
      </c>
      <c r="W295" s="10">
        <v>1</v>
      </c>
      <c r="X295" s="10">
        <v>1</v>
      </c>
      <c r="Y295" s="17" t="str">
        <f t="shared" si="85"/>
        <v>http://usfh.ch/img/Messer/1SC712
.jpg</v>
      </c>
      <c r="Z295" s="10" t="str">
        <f t="shared" si="89"/>
        <v xml:space="preserve">1SC712
</v>
      </c>
      <c r="AA295" s="13">
        <f t="shared" si="90"/>
        <v>98</v>
      </c>
      <c r="AB295" s="13">
        <f t="shared" si="91"/>
        <v>33.46</v>
      </c>
      <c r="AC295" s="10">
        <v>0.5</v>
      </c>
    </row>
    <row r="296" spans="1:29" s="14" customFormat="1" ht="15" customHeight="1" x14ac:dyDescent="0.25">
      <c r="A296" s="10">
        <v>295</v>
      </c>
      <c r="B296" s="10"/>
      <c r="C296" s="10"/>
      <c r="D296" s="10"/>
      <c r="E296" s="10"/>
      <c r="F296" s="10">
        <v>0</v>
      </c>
      <c r="G296" s="15" t="s">
        <v>819</v>
      </c>
      <c r="H296" s="10">
        <v>1</v>
      </c>
      <c r="I296" s="15" t="s">
        <v>820</v>
      </c>
      <c r="J296" s="10" t="s">
        <v>30</v>
      </c>
      <c r="K296" s="10"/>
      <c r="L296" s="9">
        <v>55</v>
      </c>
      <c r="M296" s="10">
        <v>53</v>
      </c>
      <c r="N296" s="9">
        <v>22.14</v>
      </c>
      <c r="O296" s="10" t="str">
        <f t="shared" si="84"/>
        <v>02Ry336</v>
      </c>
      <c r="P296" s="10" t="s">
        <v>40</v>
      </c>
      <c r="Q296" s="10" t="s">
        <v>41</v>
      </c>
      <c r="R296" s="12"/>
      <c r="S296" s="16" t="s">
        <v>821</v>
      </c>
      <c r="T296" s="10" t="str">
        <f t="shared" si="86"/>
        <v>Magnum Capital
,Accueil,Messer plus,feste Klinge,Böker,Magnum</v>
      </c>
      <c r="U296" s="10" t="str">
        <f t="shared" si="87"/>
        <v xml:space="preserve">Magnum Capital
</v>
      </c>
      <c r="V296" s="10" t="str">
        <f t="shared" si="88"/>
        <v>Magnum Capital
,Accueil,Messer plus,feste Klinge,Böker,Magnum</v>
      </c>
      <c r="W296" s="10">
        <v>1</v>
      </c>
      <c r="X296" s="10">
        <v>1</v>
      </c>
      <c r="Y296" s="17" t="str">
        <f t="shared" si="85"/>
        <v>http://usfh.ch/img/Messer/02Ry336.jpg</v>
      </c>
      <c r="Z296" s="10" t="str">
        <f t="shared" si="89"/>
        <v>02Ry336</v>
      </c>
      <c r="AA296" s="13">
        <f t="shared" si="90"/>
        <v>0</v>
      </c>
      <c r="AB296" s="13">
        <f t="shared" si="91"/>
        <v>0</v>
      </c>
      <c r="AC296" s="10">
        <v>0.5</v>
      </c>
    </row>
    <row r="297" spans="1:29" s="14" customFormat="1" ht="15" customHeight="1" x14ac:dyDescent="0.25">
      <c r="A297" s="10">
        <v>296</v>
      </c>
      <c r="B297" s="10"/>
      <c r="C297" s="10"/>
      <c r="D297" s="10"/>
      <c r="E297" s="10"/>
      <c r="F297" s="10">
        <v>2</v>
      </c>
      <c r="G297" s="15" t="s">
        <v>822</v>
      </c>
      <c r="H297" s="10">
        <v>1</v>
      </c>
      <c r="I297" s="15" t="s">
        <v>826</v>
      </c>
      <c r="J297" s="10" t="s">
        <v>30</v>
      </c>
      <c r="K297" s="10"/>
      <c r="L297" s="9">
        <v>19</v>
      </c>
      <c r="M297" s="10">
        <v>53</v>
      </c>
      <c r="N297" s="9">
        <v>7.98</v>
      </c>
      <c r="O297" s="10" t="str">
        <f t="shared" si="84"/>
        <v>09FZ006</v>
      </c>
      <c r="P297" s="10" t="s">
        <v>40</v>
      </c>
      <c r="Q297" s="10" t="s">
        <v>827</v>
      </c>
      <c r="R297" s="12"/>
      <c r="S297" s="16" t="s">
        <v>828</v>
      </c>
      <c r="T297" s="10" t="str">
        <f t="shared" si="86"/>
        <v>Flitz Knife Restauration Kit
,Accueil,Messer plus,feste Klinge,Böker,Flitz</v>
      </c>
      <c r="U297" s="10" t="str">
        <f t="shared" si="87"/>
        <v xml:space="preserve">Flitz Knife Restauration Kit
</v>
      </c>
      <c r="V297" s="10" t="str">
        <f t="shared" si="88"/>
        <v>Flitz Knife Restauration Kit
,Accueil,Messer plus,feste Klinge,Böker,Flitz</v>
      </c>
      <c r="W297" s="10">
        <v>1</v>
      </c>
      <c r="X297" s="10">
        <v>1</v>
      </c>
      <c r="Y297" s="17" t="str">
        <f t="shared" si="85"/>
        <v>http://usfh.ch/img/Messer/09FZ006.jpg</v>
      </c>
      <c r="Z297" s="10" t="str">
        <f t="shared" si="89"/>
        <v>09FZ006</v>
      </c>
      <c r="AA297" s="13">
        <f t="shared" si="90"/>
        <v>38</v>
      </c>
      <c r="AB297" s="13">
        <f t="shared" si="91"/>
        <v>15.96</v>
      </c>
      <c r="AC297" s="10">
        <v>0.5</v>
      </c>
    </row>
    <row r="298" spans="1:29" s="14" customFormat="1" ht="15" customHeight="1" x14ac:dyDescent="0.25">
      <c r="A298" s="10">
        <v>297</v>
      </c>
      <c r="B298" s="10"/>
      <c r="C298" s="10"/>
      <c r="D298" s="10"/>
      <c r="E298" s="10"/>
      <c r="F298" s="10">
        <v>2</v>
      </c>
      <c r="G298" s="15" t="s">
        <v>823</v>
      </c>
      <c r="H298" s="10">
        <v>1</v>
      </c>
      <c r="I298" s="15" t="s">
        <v>824</v>
      </c>
      <c r="J298" s="10" t="s">
        <v>30</v>
      </c>
      <c r="K298" s="10"/>
      <c r="L298" s="9">
        <v>19</v>
      </c>
      <c r="M298" s="10">
        <v>53</v>
      </c>
      <c r="N298" s="9">
        <v>6.38</v>
      </c>
      <c r="O298" s="10" t="str">
        <f t="shared" si="84"/>
        <v>09BO147</v>
      </c>
      <c r="P298" s="10" t="s">
        <v>40</v>
      </c>
      <c r="Q298" s="10" t="s">
        <v>40</v>
      </c>
      <c r="R298" s="12"/>
      <c r="S298" s="16" t="s">
        <v>825</v>
      </c>
      <c r="T298" s="10" t="str">
        <f t="shared" si="86"/>
        <v>Böker Thermosflasche
,Accueil,Messer plus,feste Klinge,Böker,Böker</v>
      </c>
      <c r="U298" s="10" t="str">
        <f t="shared" si="87"/>
        <v xml:space="preserve">Böker Thermosflasche
</v>
      </c>
      <c r="V298" s="10" t="str">
        <f t="shared" si="88"/>
        <v>Böker Thermosflasche
,Accueil,Messer plus,feste Klinge,Böker,Böker</v>
      </c>
      <c r="W298" s="10">
        <v>1</v>
      </c>
      <c r="X298" s="10">
        <v>1</v>
      </c>
      <c r="Y298" s="17" t="str">
        <f t="shared" si="85"/>
        <v>http://usfh.ch/img/Messer/09BO147.jpg</v>
      </c>
      <c r="Z298" s="10" t="str">
        <f t="shared" si="89"/>
        <v>09BO147</v>
      </c>
      <c r="AA298" s="13">
        <f t="shared" si="90"/>
        <v>38</v>
      </c>
      <c r="AB298" s="13">
        <f t="shared" si="91"/>
        <v>12.76</v>
      </c>
      <c r="AC298" s="10">
        <v>0.5</v>
      </c>
    </row>
    <row r="299" spans="1:29" s="14" customFormat="1" ht="15" customHeight="1" x14ac:dyDescent="0.25">
      <c r="A299" s="10">
        <v>298</v>
      </c>
      <c r="B299" s="10"/>
      <c r="C299" s="10"/>
      <c r="D299" s="10"/>
      <c r="E299" s="10"/>
      <c r="F299" s="10">
        <v>1</v>
      </c>
      <c r="G299" s="15">
        <v>42967</v>
      </c>
      <c r="H299" s="10">
        <v>1</v>
      </c>
      <c r="I299" s="15" t="s">
        <v>829</v>
      </c>
      <c r="J299" s="10" t="s">
        <v>27</v>
      </c>
      <c r="K299" s="10"/>
      <c r="L299" s="9">
        <v>19</v>
      </c>
      <c r="M299" s="10">
        <v>53</v>
      </c>
      <c r="N299" s="9">
        <v>4.95</v>
      </c>
      <c r="O299" s="10">
        <f t="shared" si="84"/>
        <v>42967</v>
      </c>
      <c r="P299" s="10" t="s">
        <v>44</v>
      </c>
      <c r="Q299" s="10" t="s">
        <v>44</v>
      </c>
      <c r="R299" s="12"/>
      <c r="S299" s="16" t="s">
        <v>830</v>
      </c>
      <c r="T299" s="10" t="str">
        <f t="shared" si="86"/>
        <v>Taschenmesser Zebraholz
,Accueil,Messer plus,Klappmesser,Haller,Haller</v>
      </c>
      <c r="U299" s="10" t="str">
        <f t="shared" si="87"/>
        <v xml:space="preserve">Taschenmesser Zebraholz
</v>
      </c>
      <c r="V299" s="10" t="str">
        <f t="shared" si="88"/>
        <v>Taschenmesser Zebraholz
,Accueil,Messer plus,Klappmesser,Haller,Haller</v>
      </c>
      <c r="W299" s="10">
        <v>1</v>
      </c>
      <c r="X299" s="10">
        <v>1</v>
      </c>
      <c r="Y299" s="17" t="str">
        <f t="shared" si="85"/>
        <v>http://usfh.ch/img/Messer/42967.jpg</v>
      </c>
      <c r="Z299" s="10">
        <f t="shared" si="89"/>
        <v>42967</v>
      </c>
      <c r="AA299" s="13">
        <f t="shared" si="90"/>
        <v>19</v>
      </c>
      <c r="AB299" s="13">
        <f t="shared" si="91"/>
        <v>4.95</v>
      </c>
      <c r="AC299" s="10">
        <v>0.5</v>
      </c>
    </row>
    <row r="300" spans="1:29" s="14" customFormat="1" ht="15" customHeight="1" x14ac:dyDescent="0.25">
      <c r="A300" s="10">
        <v>299</v>
      </c>
      <c r="B300" s="10"/>
      <c r="C300" s="10"/>
      <c r="D300" s="10"/>
      <c r="E300" s="10"/>
      <c r="F300" s="10">
        <v>1</v>
      </c>
      <c r="G300" s="15">
        <v>70114</v>
      </c>
      <c r="H300" s="10">
        <v>1</v>
      </c>
      <c r="I300" s="15" t="s">
        <v>841</v>
      </c>
      <c r="J300" s="10" t="s">
        <v>27</v>
      </c>
      <c r="K300" s="10"/>
      <c r="L300" s="9">
        <v>69</v>
      </c>
      <c r="M300" s="10">
        <v>53</v>
      </c>
      <c r="N300" s="9">
        <v>34</v>
      </c>
      <c r="O300" s="10">
        <f t="shared" si="84"/>
        <v>70114</v>
      </c>
      <c r="P300" s="10" t="s">
        <v>44</v>
      </c>
      <c r="Q300" s="10" t="s">
        <v>266</v>
      </c>
      <c r="R300" s="12"/>
      <c r="S300" s="16" t="s">
        <v>831</v>
      </c>
      <c r="T300" s="10" t="str">
        <f t="shared" si="86"/>
        <v>Glock Feldspaten,Accueil,Messer plus,Klappmesser,Haller,Glock</v>
      </c>
      <c r="U300" s="10" t="str">
        <f t="shared" si="87"/>
        <v>Glock Feldspaten</v>
      </c>
      <c r="V300" s="10" t="str">
        <f t="shared" si="88"/>
        <v>Glock Feldspaten,Accueil,Messer plus,Klappmesser,Haller,Glock</v>
      </c>
      <c r="W300" s="10">
        <v>1</v>
      </c>
      <c r="X300" s="10">
        <v>1</v>
      </c>
      <c r="Y300" s="17" t="str">
        <f t="shared" si="85"/>
        <v>http://usfh.ch/img/Messer/70114.jpg</v>
      </c>
      <c r="Z300" s="10">
        <f t="shared" si="89"/>
        <v>70114</v>
      </c>
      <c r="AA300" s="13">
        <f t="shared" si="90"/>
        <v>69</v>
      </c>
      <c r="AB300" s="13">
        <f t="shared" si="91"/>
        <v>34</v>
      </c>
      <c r="AC300" s="10">
        <v>0.5</v>
      </c>
    </row>
    <row r="301" spans="1:29" s="14" customFormat="1" ht="15" customHeight="1" x14ac:dyDescent="0.25">
      <c r="A301" s="10">
        <v>300</v>
      </c>
      <c r="B301" s="10"/>
      <c r="C301" s="10"/>
      <c r="D301" s="10"/>
      <c r="E301" s="10"/>
      <c r="F301" s="10">
        <v>1</v>
      </c>
      <c r="G301" s="15">
        <v>80629</v>
      </c>
      <c r="H301" s="10">
        <v>1</v>
      </c>
      <c r="I301" s="15" t="s">
        <v>842</v>
      </c>
      <c r="J301" s="10" t="s">
        <v>27</v>
      </c>
      <c r="K301" s="10"/>
      <c r="L301" s="9">
        <v>49</v>
      </c>
      <c r="M301" s="10">
        <v>53</v>
      </c>
      <c r="N301" s="9">
        <v>14.95</v>
      </c>
      <c r="O301" s="10">
        <f t="shared" ref="O301:O313" si="92">G301</f>
        <v>80629</v>
      </c>
      <c r="P301" s="10" t="s">
        <v>44</v>
      </c>
      <c r="Q301" s="10" t="s">
        <v>44</v>
      </c>
      <c r="R301" s="12"/>
      <c r="S301" s="16" t="s">
        <v>832</v>
      </c>
      <c r="T301" s="10" t="str">
        <f t="shared" si="86"/>
        <v>Klappspaten	,Accueil,Messer plus,Klappmesser,Haller,Haller</v>
      </c>
      <c r="U301" s="10" t="str">
        <f t="shared" si="87"/>
        <v xml:space="preserve">Klappspaten	</v>
      </c>
      <c r="V301" s="10" t="str">
        <f t="shared" si="88"/>
        <v>Klappspaten	,Accueil,Messer plus,Klappmesser,Haller,Haller</v>
      </c>
      <c r="W301" s="10">
        <v>1</v>
      </c>
      <c r="X301" s="10">
        <v>1</v>
      </c>
      <c r="Y301" s="17" t="str">
        <f t="shared" si="85"/>
        <v>http://usfh.ch/img/Messer/80629.jpg</v>
      </c>
      <c r="Z301" s="10">
        <f t="shared" si="89"/>
        <v>80629</v>
      </c>
      <c r="AA301" s="13">
        <f t="shared" si="90"/>
        <v>49</v>
      </c>
      <c r="AB301" s="13">
        <f t="shared" si="91"/>
        <v>14.95</v>
      </c>
      <c r="AC301" s="10">
        <v>0.5</v>
      </c>
    </row>
    <row r="302" spans="1:29" s="14" customFormat="1" ht="15" customHeight="1" x14ac:dyDescent="0.25">
      <c r="A302" s="10">
        <v>301</v>
      </c>
      <c r="B302" s="10"/>
      <c r="C302" s="10"/>
      <c r="D302" s="10"/>
      <c r="E302" s="10"/>
      <c r="F302" s="10">
        <v>0</v>
      </c>
      <c r="G302" s="15">
        <v>83220</v>
      </c>
      <c r="H302" s="10">
        <v>1</v>
      </c>
      <c r="I302" s="15" t="s">
        <v>833</v>
      </c>
      <c r="J302" s="10" t="s">
        <v>27</v>
      </c>
      <c r="K302" s="10"/>
      <c r="L302" s="9">
        <v>49</v>
      </c>
      <c r="M302" s="10">
        <v>53</v>
      </c>
      <c r="N302" s="9">
        <v>7.95</v>
      </c>
      <c r="O302" s="10">
        <f t="shared" si="92"/>
        <v>83220</v>
      </c>
      <c r="P302" s="10" t="s">
        <v>44</v>
      </c>
      <c r="Q302" s="10" t="s">
        <v>44</v>
      </c>
      <c r="R302" s="12"/>
      <c r="S302" s="16" t="s">
        <v>834</v>
      </c>
      <c r="T302" s="10" t="str">
        <f t="shared" si="86"/>
        <v>Taschenmesser Rescue V
Glock Feldspaten,Accueil,Messer plus,Klappmesser,Haller,Haller</v>
      </c>
      <c r="U302" s="10" t="str">
        <f t="shared" si="87"/>
        <v>Taschenmesser Rescue V
Glock Feldspaten</v>
      </c>
      <c r="V302" s="10" t="str">
        <f t="shared" si="88"/>
        <v>Taschenmesser Rescue V
Glock Feldspaten,Accueil,Messer plus,Klappmesser,Haller,Haller</v>
      </c>
      <c r="W302" s="10">
        <v>1</v>
      </c>
      <c r="X302" s="10">
        <v>1</v>
      </c>
      <c r="Y302" s="17" t="str">
        <f t="shared" si="85"/>
        <v>http://usfh.ch/img/Messer/83220.jpg</v>
      </c>
      <c r="Z302" s="10">
        <f t="shared" si="89"/>
        <v>83220</v>
      </c>
      <c r="AA302" s="13">
        <f t="shared" si="90"/>
        <v>0</v>
      </c>
      <c r="AB302" s="13">
        <f t="shared" si="91"/>
        <v>0</v>
      </c>
      <c r="AC302" s="10">
        <v>0.5</v>
      </c>
    </row>
    <row r="303" spans="1:29" s="14" customFormat="1" ht="15" customHeight="1" x14ac:dyDescent="0.25">
      <c r="A303" s="10">
        <v>302</v>
      </c>
      <c r="B303" s="10"/>
      <c r="C303" s="10"/>
      <c r="D303" s="10"/>
      <c r="E303" s="10"/>
      <c r="F303" s="10">
        <v>5</v>
      </c>
      <c r="G303" s="15">
        <v>83233</v>
      </c>
      <c r="H303" s="10">
        <v>1</v>
      </c>
      <c r="I303" s="15" t="s">
        <v>835</v>
      </c>
      <c r="J303" s="10" t="s">
        <v>27</v>
      </c>
      <c r="K303" s="10"/>
      <c r="L303" s="9">
        <v>35</v>
      </c>
      <c r="M303" s="10">
        <v>53</v>
      </c>
      <c r="N303" s="9">
        <v>5.95</v>
      </c>
      <c r="O303" s="10">
        <f t="shared" si="92"/>
        <v>83233</v>
      </c>
      <c r="P303" s="10" t="s">
        <v>44</v>
      </c>
      <c r="Q303" s="10" t="s">
        <v>44</v>
      </c>
      <c r="R303" s="12"/>
      <c r="S303" s="16" t="s">
        <v>836</v>
      </c>
      <c r="T303" s="10" t="str">
        <f t="shared" si="86"/>
        <v>Taschenmesser Redwood,Accueil,Messer plus,Klappmesser,Haller,Haller</v>
      </c>
      <c r="U303" s="10" t="str">
        <f t="shared" si="87"/>
        <v>Taschenmesser Redwood</v>
      </c>
      <c r="V303" s="10" t="str">
        <f t="shared" si="88"/>
        <v>Taschenmesser Redwood,Accueil,Messer plus,Klappmesser,Haller,Haller</v>
      </c>
      <c r="W303" s="10">
        <v>1</v>
      </c>
      <c r="X303" s="10">
        <v>1</v>
      </c>
      <c r="Y303" s="17" t="str">
        <f t="shared" ref="Y303:Y313" si="93" xml:space="preserve"> "http://usfh.ch/img/Messer/" &amp;G303 &amp; ".jpg"</f>
        <v>http://usfh.ch/img/Messer/83233.jpg</v>
      </c>
      <c r="Z303" s="10">
        <f t="shared" si="89"/>
        <v>83233</v>
      </c>
      <c r="AA303" s="13">
        <f t="shared" si="90"/>
        <v>175</v>
      </c>
      <c r="AB303" s="13">
        <f t="shared" si="91"/>
        <v>29.75</v>
      </c>
      <c r="AC303" s="10">
        <v>0.5</v>
      </c>
    </row>
    <row r="304" spans="1:29" s="14" customFormat="1" ht="15" customHeight="1" x14ac:dyDescent="0.25">
      <c r="A304" s="10">
        <v>303</v>
      </c>
      <c r="B304" s="10"/>
      <c r="C304" s="10"/>
      <c r="D304" s="10"/>
      <c r="E304" s="10"/>
      <c r="F304" s="10">
        <v>1</v>
      </c>
      <c r="G304" s="15">
        <v>83856</v>
      </c>
      <c r="H304" s="10">
        <v>1</v>
      </c>
      <c r="I304" s="15" t="s">
        <v>837</v>
      </c>
      <c r="J304" s="10" t="s">
        <v>27</v>
      </c>
      <c r="K304" s="10"/>
      <c r="L304" s="9">
        <v>59</v>
      </c>
      <c r="M304" s="10">
        <v>53</v>
      </c>
      <c r="N304" s="9">
        <v>12.95</v>
      </c>
      <c r="O304" s="10">
        <f t="shared" si="92"/>
        <v>83856</v>
      </c>
      <c r="P304" s="10" t="s">
        <v>44</v>
      </c>
      <c r="Q304" s="10" t="s">
        <v>44</v>
      </c>
      <c r="R304" s="12"/>
      <c r="S304" s="16" t="s">
        <v>838</v>
      </c>
      <c r="T304" s="10" t="str">
        <f t="shared" si="86"/>
        <v>Rescue Taschenmesser XXL,Accueil,Messer plus,Klappmesser,Haller,Haller</v>
      </c>
      <c r="U304" s="10" t="str">
        <f t="shared" si="87"/>
        <v>Rescue Taschenmesser XXL</v>
      </c>
      <c r="V304" s="10" t="str">
        <f t="shared" si="88"/>
        <v>Rescue Taschenmesser XXL,Accueil,Messer plus,Klappmesser,Haller,Haller</v>
      </c>
      <c r="W304" s="10">
        <v>1</v>
      </c>
      <c r="X304" s="10">
        <v>1</v>
      </c>
      <c r="Y304" s="17" t="str">
        <f t="shared" si="93"/>
        <v>http://usfh.ch/img/Messer/83856.jpg</v>
      </c>
      <c r="Z304" s="10">
        <f t="shared" si="89"/>
        <v>83856</v>
      </c>
      <c r="AA304" s="13">
        <f t="shared" si="90"/>
        <v>59</v>
      </c>
      <c r="AB304" s="13">
        <f t="shared" si="91"/>
        <v>12.95</v>
      </c>
      <c r="AC304" s="10">
        <v>0.5</v>
      </c>
    </row>
    <row r="305" spans="1:29" s="14" customFormat="1" ht="15" customHeight="1" x14ac:dyDescent="0.25">
      <c r="A305" s="10">
        <v>304</v>
      </c>
      <c r="B305" s="10"/>
      <c r="C305" s="10"/>
      <c r="D305" s="10"/>
      <c r="E305" s="10"/>
      <c r="F305" s="10">
        <v>3</v>
      </c>
      <c r="G305" s="15">
        <v>83880</v>
      </c>
      <c r="H305" s="10">
        <v>1</v>
      </c>
      <c r="I305" s="15" t="s">
        <v>839</v>
      </c>
      <c r="J305" s="10" t="s">
        <v>27</v>
      </c>
      <c r="K305" s="10"/>
      <c r="L305" s="9">
        <v>59</v>
      </c>
      <c r="M305" s="10">
        <v>53</v>
      </c>
      <c r="N305" s="9">
        <v>19.95</v>
      </c>
      <c r="O305" s="10">
        <f t="shared" si="92"/>
        <v>83880</v>
      </c>
      <c r="P305" s="10" t="s">
        <v>44</v>
      </c>
      <c r="Q305" s="10" t="s">
        <v>44</v>
      </c>
      <c r="R305" s="12"/>
      <c r="S305" s="16" t="s">
        <v>840</v>
      </c>
      <c r="T305" s="10" t="str">
        <f t="shared" si="86"/>
        <v>Haller Select ERPIR Olive,Accueil,Messer plus,Klappmesser,Haller,Haller</v>
      </c>
      <c r="U305" s="10" t="str">
        <f t="shared" si="87"/>
        <v>Haller Select ERPIR Olive</v>
      </c>
      <c r="V305" s="10" t="str">
        <f t="shared" si="88"/>
        <v>Haller Select ERPIR Olive,Accueil,Messer plus,Klappmesser,Haller,Haller</v>
      </c>
      <c r="W305" s="10">
        <v>1</v>
      </c>
      <c r="X305" s="10">
        <v>1</v>
      </c>
      <c r="Y305" s="17" t="str">
        <f t="shared" si="93"/>
        <v>http://usfh.ch/img/Messer/83880.jpg</v>
      </c>
      <c r="Z305" s="10">
        <f t="shared" si="89"/>
        <v>83880</v>
      </c>
      <c r="AA305" s="13">
        <f t="shared" si="90"/>
        <v>177</v>
      </c>
      <c r="AB305" s="13">
        <f t="shared" si="91"/>
        <v>59.849999999999994</v>
      </c>
      <c r="AC305" s="10">
        <v>0.5</v>
      </c>
    </row>
    <row r="306" spans="1:29" s="14" customFormat="1" ht="15" customHeight="1" x14ac:dyDescent="0.25">
      <c r="A306" s="10">
        <v>305</v>
      </c>
      <c r="B306" s="10"/>
      <c r="C306" s="10"/>
      <c r="D306" s="10"/>
      <c r="E306" s="10"/>
      <c r="F306" s="10">
        <v>3</v>
      </c>
      <c r="G306" s="15" t="s">
        <v>843</v>
      </c>
      <c r="H306" s="10">
        <v>1</v>
      </c>
      <c r="I306" s="15" t="s">
        <v>844</v>
      </c>
      <c r="J306" s="10" t="s">
        <v>30</v>
      </c>
      <c r="K306" s="10"/>
      <c r="L306" s="9">
        <v>199</v>
      </c>
      <c r="M306" s="10">
        <v>53</v>
      </c>
      <c r="N306" s="9">
        <v>80</v>
      </c>
      <c r="O306" s="10" t="str">
        <f t="shared" si="92"/>
        <v>02mag2019</v>
      </c>
      <c r="P306" s="10" t="s">
        <v>40</v>
      </c>
      <c r="Q306" s="10" t="s">
        <v>41</v>
      </c>
      <c r="R306" s="12"/>
      <c r="S306" s="16" t="s">
        <v>845</v>
      </c>
      <c r="T306" s="10" t="str">
        <f t="shared" si="86"/>
        <v>Böker Magnum Collection Knife 2019,Accueil,Messer plus,feste Klinge,Böker,Magnum</v>
      </c>
      <c r="U306" s="10" t="str">
        <f t="shared" si="87"/>
        <v>Böker Magnum Collection Knife 2019</v>
      </c>
      <c r="V306" s="10" t="str">
        <f t="shared" si="88"/>
        <v>Böker Magnum Collection Knife 2019,Accueil,Messer plus,feste Klinge,Böker,Magnum</v>
      </c>
      <c r="W306" s="10">
        <v>1</v>
      </c>
      <c r="X306" s="10">
        <v>1</v>
      </c>
      <c r="Y306" s="17" t="str">
        <f t="shared" si="93"/>
        <v>http://usfh.ch/img/Messer/02mag2019.jpg</v>
      </c>
      <c r="Z306" s="10" t="str">
        <f t="shared" si="89"/>
        <v>02mag2019</v>
      </c>
      <c r="AA306" s="13">
        <f t="shared" si="90"/>
        <v>597</v>
      </c>
      <c r="AB306" s="13">
        <f t="shared" si="91"/>
        <v>240</v>
      </c>
      <c r="AC306" s="10">
        <v>0.5</v>
      </c>
    </row>
    <row r="307" spans="1:29" s="14" customFormat="1" ht="15" customHeight="1" x14ac:dyDescent="0.25">
      <c r="A307" s="10">
        <v>306</v>
      </c>
      <c r="B307" s="10"/>
      <c r="C307" s="10"/>
      <c r="D307" s="10"/>
      <c r="E307" s="10"/>
      <c r="F307" s="10">
        <v>2</v>
      </c>
      <c r="G307" s="15" t="s">
        <v>848</v>
      </c>
      <c r="H307" s="10">
        <v>1</v>
      </c>
      <c r="I307" s="15" t="s">
        <v>847</v>
      </c>
      <c r="J307" s="10" t="s">
        <v>27</v>
      </c>
      <c r="K307" s="10"/>
      <c r="L307" s="9">
        <v>39</v>
      </c>
      <c r="M307" s="10">
        <v>53</v>
      </c>
      <c r="N307" s="9">
        <v>14.98</v>
      </c>
      <c r="O307" s="10" t="str">
        <f t="shared" si="92"/>
        <v>01bp0055</v>
      </c>
      <c r="P307" s="10" t="s">
        <v>40</v>
      </c>
      <c r="Q307" s="10" t="s">
        <v>852</v>
      </c>
      <c r="R307" s="12"/>
      <c r="S307" s="16" t="s">
        <v>849</v>
      </c>
      <c r="T307" s="10" t="str">
        <f t="shared" si="86"/>
        <v>Böker Plus All Black Pro 42,Accueil,Messer plus,Klappmesser,Böker,Böker plus</v>
      </c>
      <c r="U307" s="10" t="str">
        <f t="shared" si="87"/>
        <v>Böker Plus All Black Pro 42</v>
      </c>
      <c r="V307" s="10" t="str">
        <f t="shared" si="88"/>
        <v>Böker Plus All Black Pro 42,Accueil,Messer plus,Klappmesser,Böker,Böker plus</v>
      </c>
      <c r="W307" s="10">
        <v>1</v>
      </c>
      <c r="X307" s="10">
        <v>1</v>
      </c>
      <c r="Y307" s="17" t="str">
        <f t="shared" si="93"/>
        <v>http://usfh.ch/img/Messer/01bp0055.jpg</v>
      </c>
      <c r="Z307" s="10" t="str">
        <f t="shared" si="89"/>
        <v>01bp0055</v>
      </c>
      <c r="AA307" s="13">
        <f t="shared" si="90"/>
        <v>78</v>
      </c>
      <c r="AB307" s="13">
        <f t="shared" si="91"/>
        <v>29.96</v>
      </c>
      <c r="AC307" s="10">
        <v>0.5</v>
      </c>
    </row>
    <row r="308" spans="1:29" s="14" customFormat="1" ht="15" customHeight="1" x14ac:dyDescent="0.25">
      <c r="A308" s="10">
        <v>307</v>
      </c>
      <c r="B308" s="10"/>
      <c r="C308" s="10"/>
      <c r="D308" s="10"/>
      <c r="E308" s="10"/>
      <c r="F308" s="10">
        <v>2</v>
      </c>
      <c r="G308" s="15" t="s">
        <v>850</v>
      </c>
      <c r="H308" s="10">
        <v>1</v>
      </c>
      <c r="I308" s="15" t="s">
        <v>851</v>
      </c>
      <c r="J308" s="10" t="s">
        <v>27</v>
      </c>
      <c r="K308" s="10"/>
      <c r="L308" s="9">
        <v>39</v>
      </c>
      <c r="M308" s="10">
        <v>53</v>
      </c>
      <c r="N308" s="9">
        <v>14.98</v>
      </c>
      <c r="O308" s="10" t="str">
        <f t="shared" si="92"/>
        <v>01bp0056</v>
      </c>
      <c r="P308" s="10" t="s">
        <v>40</v>
      </c>
      <c r="Q308" s="10" t="s">
        <v>852</v>
      </c>
      <c r="R308" s="12"/>
      <c r="S308" s="16" t="s">
        <v>853</v>
      </c>
      <c r="T308" s="10" t="str">
        <f t="shared" si="86"/>
        <v>Böker Plus Advance Desert Pro,Accueil,Messer plus,Klappmesser,Böker,Böker plus</v>
      </c>
      <c r="U308" s="10" t="str">
        <f t="shared" si="87"/>
        <v>Böker Plus Advance Desert Pro</v>
      </c>
      <c r="V308" s="10" t="str">
        <f t="shared" si="88"/>
        <v>Böker Plus Advance Desert Pro,Accueil,Messer plus,Klappmesser,Böker,Böker plus</v>
      </c>
      <c r="W308" s="10">
        <v>1</v>
      </c>
      <c r="X308" s="10">
        <v>1</v>
      </c>
      <c r="Y308" s="17" t="str">
        <f t="shared" si="93"/>
        <v>http://usfh.ch/img/Messer/01bp0056.jpg</v>
      </c>
      <c r="Z308" s="10" t="str">
        <f t="shared" si="89"/>
        <v>01bp0056</v>
      </c>
      <c r="AA308" s="13">
        <f t="shared" si="90"/>
        <v>78</v>
      </c>
      <c r="AB308" s="13">
        <f t="shared" si="91"/>
        <v>29.96</v>
      </c>
      <c r="AC308" s="10">
        <v>0.5</v>
      </c>
    </row>
    <row r="309" spans="1:29" s="14" customFormat="1" ht="15" customHeight="1" x14ac:dyDescent="0.25">
      <c r="A309" s="10">
        <v>308</v>
      </c>
      <c r="B309" s="10"/>
      <c r="C309" s="10"/>
      <c r="D309" s="10"/>
      <c r="E309" s="10"/>
      <c r="F309" s="10">
        <v>2</v>
      </c>
      <c r="G309" s="15" t="s">
        <v>854</v>
      </c>
      <c r="H309" s="10">
        <v>1</v>
      </c>
      <c r="I309" s="15" t="s">
        <v>855</v>
      </c>
      <c r="J309" s="10" t="s">
        <v>27</v>
      </c>
      <c r="K309" s="10"/>
      <c r="L309" s="9">
        <v>49</v>
      </c>
      <c r="M309" s="10">
        <v>53</v>
      </c>
      <c r="N309" s="9">
        <v>9.48</v>
      </c>
      <c r="O309" s="10" t="str">
        <f t="shared" si="92"/>
        <v>01dmax004</v>
      </c>
      <c r="P309" s="10" t="s">
        <v>40</v>
      </c>
      <c r="Q309" s="10" t="s">
        <v>856</v>
      </c>
      <c r="R309" s="12"/>
      <c r="S309" s="16" t="s">
        <v>857</v>
      </c>
      <c r="T309" s="10" t="str">
        <f t="shared" si="86"/>
        <v>DMAX Chainsaw Attendant,Accueil,Messer plus,Klappmesser,Böker,dmax</v>
      </c>
      <c r="U309" s="10" t="str">
        <f t="shared" si="87"/>
        <v>DMAX Chainsaw Attendant</v>
      </c>
      <c r="V309" s="10" t="str">
        <f t="shared" si="88"/>
        <v>DMAX Chainsaw Attendant,Accueil,Messer plus,Klappmesser,Böker,dmax</v>
      </c>
      <c r="W309" s="10">
        <v>1</v>
      </c>
      <c r="X309" s="10">
        <v>1</v>
      </c>
      <c r="Y309" s="17" t="str">
        <f t="shared" si="93"/>
        <v>http://usfh.ch/img/Messer/01dmax004.jpg</v>
      </c>
      <c r="Z309" s="10" t="str">
        <f t="shared" si="89"/>
        <v>01dmax004</v>
      </c>
      <c r="AA309" s="13">
        <f t="shared" si="90"/>
        <v>98</v>
      </c>
      <c r="AB309" s="13">
        <f t="shared" si="91"/>
        <v>18.96</v>
      </c>
      <c r="AC309" s="10">
        <v>0.5</v>
      </c>
    </row>
    <row r="310" spans="1:29" s="14" customFormat="1" ht="15" customHeight="1" x14ac:dyDescent="0.25">
      <c r="A310" s="10">
        <v>309</v>
      </c>
      <c r="B310" s="10"/>
      <c r="C310" s="10"/>
      <c r="D310" s="10"/>
      <c r="E310" s="10"/>
      <c r="F310" s="10">
        <v>2</v>
      </c>
      <c r="G310" s="15" t="s">
        <v>858</v>
      </c>
      <c r="H310" s="10">
        <v>1</v>
      </c>
      <c r="I310" s="15" t="s">
        <v>859</v>
      </c>
      <c r="J310" s="10" t="s">
        <v>27</v>
      </c>
      <c r="K310" s="10"/>
      <c r="L310" s="9">
        <v>19</v>
      </c>
      <c r="M310" s="10">
        <v>53</v>
      </c>
      <c r="N310" s="9">
        <v>6.98</v>
      </c>
      <c r="O310" s="10" t="str">
        <f t="shared" si="92"/>
        <v>01hy001</v>
      </c>
      <c r="P310" s="10" t="s">
        <v>40</v>
      </c>
      <c r="Q310" s="10" t="s">
        <v>40</v>
      </c>
      <c r="R310" s="12"/>
      <c r="S310" s="16" t="s">
        <v>860</v>
      </c>
      <c r="T310" s="10" t="str">
        <f t="shared" si="86"/>
        <v>History Knife &amp; Tool Japanese Army Pen Knife Can Opener,Accueil,Messer plus,Klappmesser,Böker,Böker</v>
      </c>
      <c r="U310" s="10" t="str">
        <f t="shared" si="87"/>
        <v>History Knife &amp; Tool Japanese Army Pen Knife Can Opener</v>
      </c>
      <c r="V310" s="10" t="str">
        <f t="shared" si="88"/>
        <v>History Knife &amp; Tool Japanese Army Pen Knife Can Opener,Accueil,Messer plus,Klappmesser,Böker,Böker</v>
      </c>
      <c r="W310" s="10">
        <v>1</v>
      </c>
      <c r="X310" s="10">
        <v>1</v>
      </c>
      <c r="Y310" s="17" t="str">
        <f t="shared" si="93"/>
        <v>http://usfh.ch/img/Messer/01hy001.jpg</v>
      </c>
      <c r="Z310" s="10" t="str">
        <f t="shared" si="89"/>
        <v>01hy001</v>
      </c>
      <c r="AA310" s="13">
        <f t="shared" si="90"/>
        <v>38</v>
      </c>
      <c r="AB310" s="13">
        <f t="shared" si="91"/>
        <v>13.96</v>
      </c>
      <c r="AC310" s="10">
        <v>0.5</v>
      </c>
    </row>
    <row r="311" spans="1:29" s="14" customFormat="1" ht="15" customHeight="1" x14ac:dyDescent="0.25">
      <c r="A311" s="10">
        <v>310</v>
      </c>
      <c r="B311" s="10"/>
      <c r="C311" s="10"/>
      <c r="D311" s="10"/>
      <c r="E311" s="10"/>
      <c r="F311" s="10">
        <v>2</v>
      </c>
      <c r="G311" s="15" t="s">
        <v>861</v>
      </c>
      <c r="H311" s="10">
        <v>1</v>
      </c>
      <c r="I311" s="15" t="s">
        <v>862</v>
      </c>
      <c r="J311" s="10" t="s">
        <v>27</v>
      </c>
      <c r="K311" s="10"/>
      <c r="L311" s="9">
        <v>19</v>
      </c>
      <c r="M311" s="10">
        <v>53</v>
      </c>
      <c r="N311" s="9">
        <v>8.48</v>
      </c>
      <c r="O311" s="10" t="str">
        <f t="shared" si="92"/>
        <v>01ks057</v>
      </c>
      <c r="P311" s="10" t="s">
        <v>40</v>
      </c>
      <c r="Q311" s="10" t="s">
        <v>40</v>
      </c>
      <c r="R311" s="12"/>
      <c r="S311" s="16" t="s">
        <v>863</v>
      </c>
      <c r="T311" s="10" t="str">
        <f t="shared" si="86"/>
        <v>Kershaw Cinder,Accueil,Messer plus,Klappmesser,Böker,Böker</v>
      </c>
      <c r="U311" s="10" t="str">
        <f t="shared" si="87"/>
        <v>Kershaw Cinder</v>
      </c>
      <c r="V311" s="10" t="str">
        <f t="shared" si="88"/>
        <v>Kershaw Cinder,Accueil,Messer plus,Klappmesser,Böker,Böker</v>
      </c>
      <c r="W311" s="10">
        <v>1</v>
      </c>
      <c r="X311" s="10">
        <v>1</v>
      </c>
      <c r="Y311" s="17" t="str">
        <f t="shared" si="93"/>
        <v>http://usfh.ch/img/Messer/01ks057.jpg</v>
      </c>
      <c r="Z311" s="10" t="str">
        <f t="shared" si="89"/>
        <v>01ks057</v>
      </c>
      <c r="AA311" s="13">
        <f t="shared" si="90"/>
        <v>38</v>
      </c>
      <c r="AB311" s="13">
        <f t="shared" si="91"/>
        <v>16.96</v>
      </c>
      <c r="AC311" s="10">
        <v>0.5</v>
      </c>
    </row>
    <row r="312" spans="1:29" s="14" customFormat="1" ht="15" customHeight="1" x14ac:dyDescent="0.25">
      <c r="A312" s="10">
        <v>311</v>
      </c>
      <c r="B312" s="10"/>
      <c r="C312" s="10"/>
      <c r="D312" s="10"/>
      <c r="E312" s="10"/>
      <c r="F312" s="10">
        <v>2</v>
      </c>
      <c r="G312" s="15" t="s">
        <v>864</v>
      </c>
      <c r="H312" s="10">
        <v>1</v>
      </c>
      <c r="I312" s="15" t="s">
        <v>865</v>
      </c>
      <c r="J312" s="10" t="s">
        <v>27</v>
      </c>
      <c r="K312" s="10"/>
      <c r="L312" s="9">
        <v>19</v>
      </c>
      <c r="M312" s="10">
        <v>53</v>
      </c>
      <c r="N312" s="9">
        <v>5.98</v>
      </c>
      <c r="O312" s="10" t="str">
        <f t="shared" si="92"/>
        <v>01ru045</v>
      </c>
      <c r="P312" s="10" t="s">
        <v>40</v>
      </c>
      <c r="Q312" s="10" t="s">
        <v>500</v>
      </c>
      <c r="R312" s="12"/>
      <c r="S312" s="16" t="s">
        <v>866</v>
      </c>
      <c r="T312" s="10" t="str">
        <f t="shared" si="86"/>
        <v>K25 Mini,Accueil,Messer plus,Klappmesser,Böker,K25</v>
      </c>
      <c r="U312" s="10" t="str">
        <f t="shared" si="87"/>
        <v>K25 Mini</v>
      </c>
      <c r="V312" s="10" t="str">
        <f t="shared" si="88"/>
        <v>K25 Mini,Accueil,Messer plus,Klappmesser,Böker,K25</v>
      </c>
      <c r="W312" s="10">
        <v>1</v>
      </c>
      <c r="X312" s="10">
        <v>1</v>
      </c>
      <c r="Y312" s="17" t="str">
        <f t="shared" si="93"/>
        <v>http://usfh.ch/img/Messer/01ru045.jpg</v>
      </c>
      <c r="Z312" s="10" t="str">
        <f t="shared" si="89"/>
        <v>01ru045</v>
      </c>
      <c r="AA312" s="13">
        <f t="shared" si="90"/>
        <v>38</v>
      </c>
      <c r="AB312" s="13">
        <f t="shared" si="91"/>
        <v>11.96</v>
      </c>
      <c r="AC312" s="10">
        <v>0.5</v>
      </c>
    </row>
    <row r="313" spans="1:29" s="14" customFormat="1" ht="15" customHeight="1" x14ac:dyDescent="0.25">
      <c r="A313" s="10">
        <v>312</v>
      </c>
      <c r="B313" s="10"/>
      <c r="C313" s="10"/>
      <c r="D313" s="10"/>
      <c r="E313" s="10"/>
      <c r="F313" s="10">
        <v>2</v>
      </c>
      <c r="G313" s="10" t="s">
        <v>867</v>
      </c>
      <c r="H313" s="10">
        <v>1</v>
      </c>
      <c r="I313" s="15" t="s">
        <v>868</v>
      </c>
      <c r="J313" s="10" t="s">
        <v>27</v>
      </c>
      <c r="K313" s="10"/>
      <c r="L313" s="9">
        <v>49</v>
      </c>
      <c r="M313" s="10">
        <v>53</v>
      </c>
      <c r="N313" s="9">
        <v>15.48</v>
      </c>
      <c r="O313" s="10" t="str">
        <f t="shared" si="92"/>
        <v>01ry294</v>
      </c>
      <c r="P313" s="10" t="s">
        <v>40</v>
      </c>
      <c r="Q313" s="10" t="s">
        <v>41</v>
      </c>
      <c r="R313" s="12"/>
      <c r="S313" s="16" t="s">
        <v>869</v>
      </c>
      <c r="T313" s="10" t="str">
        <f t="shared" si="86"/>
        <v>Magnum Chainsaw Attendant Satin,Accueil,Messer plus,Klappmesser,Böker,Magnum</v>
      </c>
      <c r="U313" s="10" t="str">
        <f t="shared" si="87"/>
        <v>Magnum Chainsaw Attendant Satin</v>
      </c>
      <c r="V313" s="10" t="str">
        <f t="shared" si="88"/>
        <v>Magnum Chainsaw Attendant Satin,Accueil,Messer plus,Klappmesser,Böker,Magnum</v>
      </c>
      <c r="W313" s="10">
        <v>1</v>
      </c>
      <c r="X313" s="10">
        <v>1</v>
      </c>
      <c r="Y313" s="17" t="str">
        <f t="shared" si="93"/>
        <v>http://usfh.ch/img/Messer/01ry294.jpg</v>
      </c>
      <c r="Z313" s="10" t="str">
        <f t="shared" si="89"/>
        <v>01ry294</v>
      </c>
      <c r="AA313" s="13">
        <f t="shared" si="90"/>
        <v>98</v>
      </c>
      <c r="AB313" s="13">
        <f t="shared" si="91"/>
        <v>30.96</v>
      </c>
      <c r="AC313" s="10">
        <v>0.5</v>
      </c>
    </row>
    <row r="323" spans="12:12" x14ac:dyDescent="0.25">
      <c r="L323" s="6">
        <f>SUM(AA2:AA312)</f>
        <v>34513</v>
      </c>
    </row>
  </sheetData>
  <sortState xmlns:xlrd2="http://schemas.microsoft.com/office/spreadsheetml/2017/richdata2" ref="A2:AC323">
    <sortCondition ref="A180:A323"/>
  </sortState>
  <phoneticPr fontId="3" type="noConversion"/>
  <pageMargins left="0" right="0" top="0" bottom="0" header="0" footer="0.31496062992125984"/>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Messer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Urs Schwendener</cp:lastModifiedBy>
  <cp:lastPrinted>2025-10-08T07:53:50Z</cp:lastPrinted>
  <dcterms:created xsi:type="dcterms:W3CDTF">2023-06-14T13:57:13Z</dcterms:created>
  <dcterms:modified xsi:type="dcterms:W3CDTF">2026-04-27T08:50:59Z</dcterms:modified>
</cp:coreProperties>
</file>