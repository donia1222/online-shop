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K:\Privat\US_FH\web_shop\Neuer shop\Armbrust_Zubehör\"/>
    </mc:Choice>
  </mc:AlternateContent>
  <xr:revisionPtr revIDLastSave="0" documentId="13_ncr:1_{23B9E795-A9BF-4045-9283-A1A7B61D9729}" xr6:coauthVersionLast="47" xr6:coauthVersionMax="47" xr10:uidLastSave="{00000000-0000-0000-0000-000000000000}"/>
  <bookViews>
    <workbookView xWindow="-120" yWindow="-120" windowWidth="29040" windowHeight="15720" tabRatio="884" xr2:uid="{5C413A35-37CD-4FC7-9B0F-E46798A10454}"/>
  </bookViews>
  <sheets>
    <sheet name="Armbrust_Zubehör"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0" i="4" l="1"/>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79"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2" i="4"/>
  <c r="AA12" i="4"/>
  <c r="AB12" i="4"/>
  <c r="Z12" i="4"/>
  <c r="V12" i="4"/>
  <c r="U12" i="4"/>
  <c r="T12" i="4"/>
  <c r="O61" i="4" l="1"/>
  <c r="T61" i="4"/>
  <c r="V61" i="4" s="1"/>
  <c r="U61" i="4"/>
  <c r="Z61" i="4"/>
  <c r="AA61" i="4"/>
  <c r="AB61" i="4"/>
  <c r="O106" i="4" l="1"/>
  <c r="T106" i="4"/>
  <c r="V106" i="4" s="1"/>
  <c r="U106" i="4"/>
  <c r="Z106" i="4"/>
  <c r="AA106" i="4"/>
  <c r="AB106" i="4"/>
  <c r="O110" i="4" l="1"/>
  <c r="T110" i="4"/>
  <c r="V110" i="4" s="1"/>
  <c r="U110" i="4"/>
  <c r="Z110" i="4"/>
  <c r="AA110" i="4"/>
  <c r="AB110" i="4"/>
  <c r="O111" i="4"/>
  <c r="T111" i="4"/>
  <c r="V111" i="4" s="1"/>
  <c r="U111" i="4"/>
  <c r="Z111" i="4"/>
  <c r="AA111" i="4"/>
  <c r="AB111" i="4"/>
  <c r="O109" i="4"/>
  <c r="T109" i="4"/>
  <c r="V109" i="4" s="1"/>
  <c r="U109" i="4"/>
  <c r="Z109" i="4"/>
  <c r="AA109" i="4"/>
  <c r="AB109" i="4"/>
  <c r="O108" i="4" l="1"/>
  <c r="T108" i="4"/>
  <c r="V108" i="4" s="1"/>
  <c r="U108" i="4"/>
  <c r="Z108" i="4"/>
  <c r="AA108" i="4"/>
  <c r="AB108" i="4"/>
  <c r="O107" i="4"/>
  <c r="T107" i="4"/>
  <c r="V107" i="4" s="1"/>
  <c r="U107" i="4"/>
  <c r="Z107" i="4"/>
  <c r="AA107" i="4"/>
  <c r="AB107" i="4"/>
  <c r="AB105" i="4" l="1"/>
  <c r="AA105" i="4"/>
  <c r="Z105" i="4"/>
  <c r="U105" i="4"/>
  <c r="T105" i="4"/>
  <c r="V105" i="4" s="1"/>
  <c r="O105" i="4"/>
  <c r="O101" i="4"/>
  <c r="T101" i="4"/>
  <c r="V101" i="4" s="1"/>
  <c r="U101" i="4"/>
  <c r="Z101" i="4"/>
  <c r="AA101" i="4"/>
  <c r="AB101" i="4"/>
  <c r="O102" i="4"/>
  <c r="T102" i="4"/>
  <c r="V102" i="4" s="1"/>
  <c r="U102" i="4"/>
  <c r="Z102" i="4"/>
  <c r="AA102" i="4"/>
  <c r="AB102" i="4"/>
  <c r="O103" i="4"/>
  <c r="T103" i="4"/>
  <c r="V103" i="4" s="1"/>
  <c r="U103" i="4"/>
  <c r="Z103" i="4"/>
  <c r="AA103" i="4"/>
  <c r="AB103" i="4"/>
  <c r="O104" i="4"/>
  <c r="T104" i="4"/>
  <c r="V104" i="4" s="1"/>
  <c r="U104" i="4"/>
  <c r="Z104" i="4"/>
  <c r="AA104" i="4"/>
  <c r="AB104" i="4"/>
  <c r="O100" i="4" l="1"/>
  <c r="T100" i="4"/>
  <c r="V100" i="4" s="1"/>
  <c r="U100" i="4"/>
  <c r="Z100" i="4"/>
  <c r="AA100" i="4"/>
  <c r="AB100" i="4"/>
  <c r="O99" i="4" l="1"/>
  <c r="T99" i="4"/>
  <c r="V99" i="4" s="1"/>
  <c r="U99" i="4"/>
  <c r="Z99" i="4"/>
  <c r="AA99" i="4"/>
  <c r="AB99" i="4"/>
  <c r="O98" i="4"/>
  <c r="T98" i="4"/>
  <c r="V98" i="4" s="1"/>
  <c r="U98" i="4"/>
  <c r="Z98" i="4"/>
  <c r="AA98" i="4"/>
  <c r="AB98" i="4"/>
  <c r="O97" i="4"/>
  <c r="T97" i="4"/>
  <c r="V97" i="4" s="1"/>
  <c r="U97" i="4"/>
  <c r="Z97" i="4"/>
  <c r="AA97" i="4"/>
  <c r="AB97" i="4"/>
  <c r="O96" i="4"/>
  <c r="T96" i="4"/>
  <c r="V96" i="4" s="1"/>
  <c r="U96" i="4"/>
  <c r="Z96" i="4"/>
  <c r="AA96" i="4"/>
  <c r="AB96" i="4"/>
  <c r="O94" i="4" l="1"/>
  <c r="T94" i="4"/>
  <c r="V94" i="4" s="1"/>
  <c r="U94" i="4"/>
  <c r="Z94" i="4"/>
  <c r="AA94" i="4"/>
  <c r="AB94" i="4"/>
  <c r="O95" i="4"/>
  <c r="T95" i="4"/>
  <c r="V95" i="4" s="1"/>
  <c r="U95" i="4"/>
  <c r="Z95" i="4"/>
  <c r="AA95" i="4"/>
  <c r="AB95" i="4"/>
  <c r="O93" i="4" l="1"/>
  <c r="T93" i="4"/>
  <c r="V93" i="4" s="1"/>
  <c r="U93" i="4"/>
  <c r="Z93" i="4"/>
  <c r="AA93" i="4"/>
  <c r="AB93" i="4"/>
  <c r="O92" i="4"/>
  <c r="T92" i="4"/>
  <c r="V92" i="4" s="1"/>
  <c r="U92" i="4"/>
  <c r="Z92" i="4"/>
  <c r="AA92" i="4"/>
  <c r="AB92" i="4"/>
  <c r="O91" i="4" l="1"/>
  <c r="T91" i="4"/>
  <c r="V91" i="4" s="1"/>
  <c r="U91" i="4"/>
  <c r="Z91" i="4"/>
  <c r="AA91" i="4"/>
  <c r="AB91" i="4"/>
  <c r="O90" i="4"/>
  <c r="T90" i="4"/>
  <c r="V90" i="4" s="1"/>
  <c r="U90" i="4"/>
  <c r="Z90" i="4"/>
  <c r="AA90" i="4"/>
  <c r="AB90" i="4"/>
  <c r="AB89" i="4" l="1"/>
  <c r="AA89" i="4"/>
  <c r="Z89" i="4"/>
  <c r="U89" i="4"/>
  <c r="T89" i="4"/>
  <c r="V89" i="4" s="1"/>
  <c r="O89" i="4"/>
  <c r="AB88" i="4"/>
  <c r="AA88" i="4"/>
  <c r="Z88" i="4"/>
  <c r="U88" i="4"/>
  <c r="T88" i="4"/>
  <c r="V88" i="4" s="1"/>
  <c r="O88" i="4"/>
  <c r="AB87" i="4"/>
  <c r="AA87" i="4"/>
  <c r="Z87" i="4"/>
  <c r="U87" i="4"/>
  <c r="T87" i="4"/>
  <c r="V87" i="4" s="1"/>
  <c r="O87" i="4"/>
  <c r="AB86" i="4"/>
  <c r="AA86" i="4"/>
  <c r="Z86" i="4"/>
  <c r="U86" i="4"/>
  <c r="T86" i="4"/>
  <c r="V86" i="4" s="1"/>
  <c r="O86" i="4"/>
  <c r="AB85" i="4"/>
  <c r="AA85" i="4"/>
  <c r="Z85" i="4"/>
  <c r="U85" i="4"/>
  <c r="T85" i="4"/>
  <c r="V85" i="4" s="1"/>
  <c r="O85" i="4"/>
  <c r="AB84" i="4"/>
  <c r="AA84" i="4"/>
  <c r="Z84" i="4"/>
  <c r="U84" i="4"/>
  <c r="T84" i="4"/>
  <c r="V84" i="4" s="1"/>
  <c r="O84" i="4"/>
  <c r="AB83" i="4"/>
  <c r="AA83" i="4"/>
  <c r="Z83" i="4"/>
  <c r="U83" i="4"/>
  <c r="T83" i="4"/>
  <c r="V83" i="4" s="1"/>
  <c r="O83" i="4"/>
  <c r="AB82" i="4"/>
  <c r="AA82" i="4"/>
  <c r="Z82" i="4"/>
  <c r="U82" i="4"/>
  <c r="T82" i="4"/>
  <c r="V82" i="4" s="1"/>
  <c r="O82" i="4"/>
  <c r="AB81" i="4"/>
  <c r="AA81" i="4"/>
  <c r="Z81" i="4"/>
  <c r="U81" i="4"/>
  <c r="T81" i="4"/>
  <c r="V81" i="4" s="1"/>
  <c r="O81" i="4"/>
  <c r="AB80" i="4"/>
  <c r="AA80" i="4"/>
  <c r="Z80" i="4"/>
  <c r="U80" i="4"/>
  <c r="T80" i="4"/>
  <c r="V80" i="4" s="1"/>
  <c r="O80" i="4"/>
  <c r="AB79" i="4"/>
  <c r="AA79" i="4"/>
  <c r="Z79" i="4"/>
  <c r="U79" i="4"/>
  <c r="T79" i="4"/>
  <c r="V79" i="4" s="1"/>
  <c r="O79" i="4"/>
  <c r="AB78" i="4"/>
  <c r="AA78" i="4"/>
  <c r="Z78" i="4"/>
  <c r="U78" i="4"/>
  <c r="T78" i="4"/>
  <c r="V78" i="4" s="1"/>
  <c r="O78" i="4"/>
  <c r="AB77" i="4"/>
  <c r="AA77" i="4"/>
  <c r="Z77" i="4"/>
  <c r="U77" i="4"/>
  <c r="T77" i="4"/>
  <c r="V77" i="4" s="1"/>
  <c r="O77" i="4"/>
  <c r="AB76" i="4"/>
  <c r="AA76" i="4"/>
  <c r="Z76" i="4"/>
  <c r="U76" i="4"/>
  <c r="T76" i="4"/>
  <c r="V76" i="4" s="1"/>
  <c r="O76" i="4"/>
  <c r="AB75" i="4"/>
  <c r="AA75" i="4"/>
  <c r="Z75" i="4"/>
  <c r="U75" i="4"/>
  <c r="T75" i="4"/>
  <c r="V75" i="4" s="1"/>
  <c r="O75" i="4"/>
  <c r="AB74" i="4"/>
  <c r="AA74" i="4"/>
  <c r="Z74" i="4"/>
  <c r="U74" i="4"/>
  <c r="T74" i="4"/>
  <c r="V74" i="4" s="1"/>
  <c r="O74" i="4"/>
  <c r="AB73" i="4"/>
  <c r="AA73" i="4"/>
  <c r="Z73" i="4"/>
  <c r="U73" i="4"/>
  <c r="T73" i="4"/>
  <c r="V73" i="4" s="1"/>
  <c r="O73" i="4"/>
  <c r="AB72" i="4"/>
  <c r="AA72" i="4"/>
  <c r="Z72" i="4"/>
  <c r="U72" i="4"/>
  <c r="T72" i="4"/>
  <c r="V72" i="4" s="1"/>
  <c r="O72" i="4"/>
  <c r="AB71" i="4"/>
  <c r="AA71" i="4"/>
  <c r="Z71" i="4"/>
  <c r="U71" i="4"/>
  <c r="T71" i="4"/>
  <c r="V71" i="4" s="1"/>
  <c r="O71" i="4"/>
  <c r="AB70" i="4"/>
  <c r="AA70" i="4"/>
  <c r="Z70" i="4"/>
  <c r="U70" i="4"/>
  <c r="T70" i="4"/>
  <c r="V70" i="4" s="1"/>
  <c r="O70" i="4"/>
  <c r="AB69" i="4"/>
  <c r="AA69" i="4"/>
  <c r="Z69" i="4"/>
  <c r="U69" i="4"/>
  <c r="T69" i="4"/>
  <c r="V69" i="4" s="1"/>
  <c r="O69" i="4"/>
  <c r="AB68" i="4"/>
  <c r="AA68" i="4"/>
  <c r="Z68" i="4"/>
  <c r="U68" i="4"/>
  <c r="T68" i="4"/>
  <c r="V68" i="4" s="1"/>
  <c r="O68" i="4"/>
  <c r="AB67" i="4"/>
  <c r="AA67" i="4"/>
  <c r="Z67" i="4"/>
  <c r="U67" i="4"/>
  <c r="T67" i="4"/>
  <c r="V67" i="4" s="1"/>
  <c r="O67" i="4"/>
  <c r="AB66" i="4"/>
  <c r="AA66" i="4"/>
  <c r="Z66" i="4"/>
  <c r="U66" i="4"/>
  <c r="T66" i="4"/>
  <c r="V66" i="4" s="1"/>
  <c r="O66" i="4"/>
  <c r="AB65" i="4"/>
  <c r="AA65" i="4"/>
  <c r="Z65" i="4"/>
  <c r="U65" i="4"/>
  <c r="T65" i="4"/>
  <c r="V65" i="4" s="1"/>
  <c r="O65" i="4"/>
  <c r="AB64" i="4"/>
  <c r="AA64" i="4"/>
  <c r="Z64" i="4"/>
  <c r="U64" i="4"/>
  <c r="T64" i="4"/>
  <c r="V64" i="4" s="1"/>
  <c r="O64" i="4"/>
  <c r="AB63" i="4"/>
  <c r="AA63" i="4"/>
  <c r="Z63" i="4"/>
  <c r="U63" i="4"/>
  <c r="T63" i="4"/>
  <c r="V63" i="4" s="1"/>
  <c r="O63" i="4"/>
  <c r="AB62" i="4"/>
  <c r="AA62" i="4"/>
  <c r="Z62" i="4"/>
  <c r="U62" i="4"/>
  <c r="T62" i="4"/>
  <c r="V62" i="4" s="1"/>
  <c r="O62" i="4"/>
  <c r="AB60" i="4"/>
  <c r="AA60" i="4"/>
  <c r="Z60" i="4"/>
  <c r="U60" i="4"/>
  <c r="T60" i="4"/>
  <c r="V60" i="4" s="1"/>
  <c r="O60" i="4"/>
  <c r="AB59" i="4"/>
  <c r="AA59" i="4"/>
  <c r="Z59" i="4"/>
  <c r="U59" i="4"/>
  <c r="T59" i="4"/>
  <c r="V59" i="4" s="1"/>
  <c r="O59" i="4"/>
  <c r="AB58" i="4"/>
  <c r="AA58" i="4"/>
  <c r="Z58" i="4"/>
  <c r="U58" i="4"/>
  <c r="T58" i="4"/>
  <c r="V58" i="4" s="1"/>
  <c r="O58" i="4"/>
  <c r="AB57" i="4"/>
  <c r="AA57" i="4"/>
  <c r="Z57" i="4"/>
  <c r="U57" i="4"/>
  <c r="T57" i="4"/>
  <c r="V57" i="4" s="1"/>
  <c r="O57" i="4"/>
  <c r="AB56" i="4"/>
  <c r="AA56" i="4"/>
  <c r="Z56" i="4"/>
  <c r="U56" i="4"/>
  <c r="T56" i="4"/>
  <c r="V56" i="4" s="1"/>
  <c r="O56" i="4"/>
  <c r="AB55" i="4"/>
  <c r="AA55" i="4"/>
  <c r="Z55" i="4"/>
  <c r="U55" i="4"/>
  <c r="T55" i="4"/>
  <c r="V55" i="4" s="1"/>
  <c r="O55" i="4"/>
  <c r="AB54" i="4"/>
  <c r="AA54" i="4"/>
  <c r="Z54" i="4"/>
  <c r="U54" i="4"/>
  <c r="T54" i="4"/>
  <c r="V54" i="4" s="1"/>
  <c r="O54" i="4"/>
  <c r="AB53" i="4"/>
  <c r="AA53" i="4"/>
  <c r="Z53" i="4"/>
  <c r="U53" i="4"/>
  <c r="T53" i="4"/>
  <c r="V53" i="4" s="1"/>
  <c r="O53" i="4"/>
  <c r="AB52" i="4"/>
  <c r="AA52" i="4"/>
  <c r="Z52" i="4"/>
  <c r="U52" i="4"/>
  <c r="T52" i="4"/>
  <c r="V52" i="4" s="1"/>
  <c r="O52" i="4"/>
  <c r="AB51" i="4"/>
  <c r="AA51" i="4"/>
  <c r="Z51" i="4"/>
  <c r="U51" i="4"/>
  <c r="T51" i="4"/>
  <c r="V51" i="4" s="1"/>
  <c r="O51" i="4"/>
  <c r="AB50" i="4"/>
  <c r="AA50" i="4"/>
  <c r="Z50" i="4"/>
  <c r="U50" i="4"/>
  <c r="T50" i="4"/>
  <c r="V50" i="4" s="1"/>
  <c r="O50" i="4"/>
  <c r="AB49" i="4"/>
  <c r="AA49" i="4"/>
  <c r="Z49" i="4"/>
  <c r="U49" i="4"/>
  <c r="T49" i="4"/>
  <c r="V49" i="4" s="1"/>
  <c r="O49" i="4"/>
  <c r="AB48" i="4"/>
  <c r="AA48" i="4"/>
  <c r="Z48" i="4"/>
  <c r="U48" i="4"/>
  <c r="T48" i="4"/>
  <c r="V48" i="4" s="1"/>
  <c r="O48" i="4"/>
  <c r="AB47" i="4"/>
  <c r="AA47" i="4"/>
  <c r="Z47" i="4"/>
  <c r="U47" i="4"/>
  <c r="T47" i="4"/>
  <c r="V47" i="4" s="1"/>
  <c r="O47" i="4"/>
  <c r="AB46" i="4"/>
  <c r="AA46" i="4"/>
  <c r="Z46" i="4"/>
  <c r="U46" i="4"/>
  <c r="T46" i="4"/>
  <c r="V46" i="4" s="1"/>
  <c r="O46" i="4"/>
  <c r="AB45" i="4"/>
  <c r="AA45" i="4"/>
  <c r="Z45" i="4"/>
  <c r="U45" i="4"/>
  <c r="T45" i="4"/>
  <c r="V45" i="4" s="1"/>
  <c r="O45" i="4"/>
  <c r="AB44" i="4"/>
  <c r="AA44" i="4"/>
  <c r="Z44" i="4"/>
  <c r="U44" i="4"/>
  <c r="T44" i="4"/>
  <c r="V44" i="4" s="1"/>
  <c r="O44" i="4"/>
  <c r="AB43" i="4"/>
  <c r="AA43" i="4"/>
  <c r="Z43" i="4"/>
  <c r="U43" i="4"/>
  <c r="T43" i="4"/>
  <c r="V43" i="4" s="1"/>
  <c r="O43" i="4"/>
  <c r="AB42" i="4"/>
  <c r="AA42" i="4"/>
  <c r="Z42" i="4"/>
  <c r="U42" i="4"/>
  <c r="T42" i="4"/>
  <c r="V42" i="4" s="1"/>
  <c r="O42" i="4"/>
  <c r="AB41" i="4"/>
  <c r="AA41" i="4"/>
  <c r="Z41" i="4"/>
  <c r="U41" i="4"/>
  <c r="T41" i="4"/>
  <c r="V41" i="4" s="1"/>
  <c r="O41" i="4"/>
  <c r="AB40" i="4"/>
  <c r="AA40" i="4"/>
  <c r="Z40" i="4"/>
  <c r="U40" i="4"/>
  <c r="T40" i="4"/>
  <c r="V40" i="4" s="1"/>
  <c r="O40" i="4"/>
  <c r="AB39" i="4"/>
  <c r="AA39" i="4"/>
  <c r="Z39" i="4"/>
  <c r="U39" i="4"/>
  <c r="T39" i="4"/>
  <c r="V39" i="4" s="1"/>
  <c r="O39" i="4"/>
  <c r="AB38" i="4"/>
  <c r="AA38" i="4"/>
  <c r="Z38" i="4"/>
  <c r="U38" i="4"/>
  <c r="T38" i="4"/>
  <c r="V38" i="4" s="1"/>
  <c r="O38" i="4"/>
  <c r="AB37" i="4"/>
  <c r="AA37" i="4"/>
  <c r="Z37" i="4"/>
  <c r="U37" i="4"/>
  <c r="T37" i="4"/>
  <c r="V37" i="4" s="1"/>
  <c r="O37" i="4"/>
  <c r="AB36" i="4"/>
  <c r="AA36" i="4"/>
  <c r="Z36" i="4"/>
  <c r="U36" i="4"/>
  <c r="T36" i="4"/>
  <c r="V36" i="4" s="1"/>
  <c r="O36" i="4"/>
  <c r="AB35" i="4"/>
  <c r="AA35" i="4"/>
  <c r="Z35" i="4"/>
  <c r="U35" i="4"/>
  <c r="T35" i="4"/>
  <c r="V35" i="4" s="1"/>
  <c r="O35" i="4"/>
  <c r="AB34" i="4"/>
  <c r="AA34" i="4"/>
  <c r="Z34" i="4"/>
  <c r="U34" i="4"/>
  <c r="T34" i="4"/>
  <c r="V34" i="4" s="1"/>
  <c r="O34" i="4"/>
  <c r="AB33" i="4"/>
  <c r="AA33" i="4"/>
  <c r="Z33" i="4"/>
  <c r="U33" i="4"/>
  <c r="T33" i="4"/>
  <c r="V33" i="4" s="1"/>
  <c r="O33" i="4"/>
  <c r="AB32" i="4"/>
  <c r="AA32" i="4"/>
  <c r="Z32" i="4"/>
  <c r="U32" i="4"/>
  <c r="T32" i="4"/>
  <c r="V32" i="4" s="1"/>
  <c r="O32" i="4"/>
  <c r="AB31" i="4"/>
  <c r="AA31" i="4"/>
  <c r="Z31" i="4"/>
  <c r="U31" i="4"/>
  <c r="T31" i="4"/>
  <c r="V31" i="4" s="1"/>
  <c r="O31" i="4"/>
  <c r="AB30" i="4"/>
  <c r="AA30" i="4"/>
  <c r="Z30" i="4"/>
  <c r="U30" i="4"/>
  <c r="T30" i="4"/>
  <c r="V30" i="4" s="1"/>
  <c r="O30" i="4"/>
  <c r="AB29" i="4"/>
  <c r="AA29" i="4"/>
  <c r="Z29" i="4"/>
  <c r="U29" i="4"/>
  <c r="T29" i="4"/>
  <c r="V29" i="4" s="1"/>
  <c r="O29" i="4"/>
  <c r="AB28" i="4"/>
  <c r="AA28" i="4"/>
  <c r="Z28" i="4"/>
  <c r="U28" i="4"/>
  <c r="T28" i="4"/>
  <c r="V28" i="4" s="1"/>
  <c r="O28" i="4"/>
  <c r="AB27" i="4"/>
  <c r="AA27" i="4"/>
  <c r="Z27" i="4"/>
  <c r="U27" i="4"/>
  <c r="T27" i="4"/>
  <c r="V27" i="4" s="1"/>
  <c r="O27" i="4"/>
  <c r="AB26" i="4"/>
  <c r="AA26" i="4"/>
  <c r="Z26" i="4"/>
  <c r="U26" i="4"/>
  <c r="T26" i="4"/>
  <c r="V26" i="4" s="1"/>
  <c r="O26" i="4"/>
  <c r="AB25" i="4"/>
  <c r="AA25" i="4"/>
  <c r="Z25" i="4"/>
  <c r="U25" i="4"/>
  <c r="T25" i="4"/>
  <c r="V25" i="4" s="1"/>
  <c r="O25" i="4"/>
  <c r="AB24" i="4"/>
  <c r="AA24" i="4"/>
  <c r="Z24" i="4"/>
  <c r="U24" i="4"/>
  <c r="T24" i="4"/>
  <c r="V24" i="4" s="1"/>
  <c r="O24" i="4"/>
  <c r="AB23" i="4"/>
  <c r="AA23" i="4"/>
  <c r="Z23" i="4"/>
  <c r="U23" i="4"/>
  <c r="T23" i="4"/>
  <c r="V23" i="4" s="1"/>
  <c r="O23" i="4"/>
  <c r="AB22" i="4"/>
  <c r="AA22" i="4"/>
  <c r="Z22" i="4"/>
  <c r="U22" i="4"/>
  <c r="T22" i="4"/>
  <c r="V22" i="4" s="1"/>
  <c r="O22" i="4"/>
  <c r="AB21" i="4"/>
  <c r="AA21" i="4"/>
  <c r="Z21" i="4"/>
  <c r="U21" i="4"/>
  <c r="T21" i="4"/>
  <c r="V21" i="4" s="1"/>
  <c r="O21" i="4"/>
  <c r="AB20" i="4"/>
  <c r="AA20" i="4"/>
  <c r="Z20" i="4"/>
  <c r="U20" i="4"/>
  <c r="T20" i="4"/>
  <c r="V20" i="4" s="1"/>
  <c r="O20" i="4"/>
  <c r="AB19" i="4"/>
  <c r="AA19" i="4"/>
  <c r="Z19" i="4"/>
  <c r="U19" i="4"/>
  <c r="T19" i="4"/>
  <c r="V19" i="4" s="1"/>
  <c r="O19" i="4"/>
  <c r="AB18" i="4"/>
  <c r="AA18" i="4"/>
  <c r="Z18" i="4"/>
  <c r="U18" i="4"/>
  <c r="T18" i="4"/>
  <c r="V18" i="4" s="1"/>
  <c r="O18" i="4"/>
  <c r="AB17" i="4"/>
  <c r="AA17" i="4"/>
  <c r="Z17" i="4"/>
  <c r="U17" i="4"/>
  <c r="T17" i="4"/>
  <c r="V17" i="4" s="1"/>
  <c r="O17" i="4"/>
  <c r="AB16" i="4"/>
  <c r="AA16" i="4"/>
  <c r="Z16" i="4"/>
  <c r="U16" i="4"/>
  <c r="T16" i="4"/>
  <c r="V16" i="4" s="1"/>
  <c r="O16" i="4"/>
  <c r="AB15" i="4"/>
  <c r="AA15" i="4"/>
  <c r="Z15" i="4"/>
  <c r="U15" i="4"/>
  <c r="T15" i="4"/>
  <c r="V15" i="4" s="1"/>
  <c r="O15" i="4"/>
  <c r="AB14" i="4"/>
  <c r="AA14" i="4"/>
  <c r="Z14" i="4"/>
  <c r="U14" i="4"/>
  <c r="T14" i="4"/>
  <c r="V14" i="4" s="1"/>
  <c r="O14" i="4"/>
  <c r="AB13" i="4"/>
  <c r="AA13" i="4"/>
  <c r="Z13" i="4"/>
  <c r="U13" i="4"/>
  <c r="T13" i="4"/>
  <c r="V13" i="4" s="1"/>
  <c r="O13" i="4"/>
  <c r="O12" i="4"/>
  <c r="AB11" i="4"/>
  <c r="AA11" i="4"/>
  <c r="Z11" i="4"/>
  <c r="U11" i="4"/>
  <c r="T11" i="4"/>
  <c r="V11" i="4" s="1"/>
  <c r="O11" i="4"/>
  <c r="AB10" i="4"/>
  <c r="AA10" i="4"/>
  <c r="Z10" i="4"/>
  <c r="U10" i="4"/>
  <c r="T10" i="4"/>
  <c r="V10" i="4" s="1"/>
  <c r="O10" i="4"/>
  <c r="AB9" i="4"/>
  <c r="AA9" i="4"/>
  <c r="Z9" i="4"/>
  <c r="U9" i="4"/>
  <c r="T9" i="4"/>
  <c r="V9" i="4" s="1"/>
  <c r="O9" i="4"/>
  <c r="AB8" i="4"/>
  <c r="AA8" i="4"/>
  <c r="Z8" i="4"/>
  <c r="U8" i="4"/>
  <c r="T8" i="4"/>
  <c r="V8" i="4" s="1"/>
  <c r="O8" i="4"/>
  <c r="AB7" i="4"/>
  <c r="AA7" i="4"/>
  <c r="Z7" i="4"/>
  <c r="U7" i="4"/>
  <c r="T7" i="4"/>
  <c r="V7" i="4" s="1"/>
  <c r="O7" i="4"/>
  <c r="AB6" i="4"/>
  <c r="AA6" i="4"/>
  <c r="Z6" i="4"/>
  <c r="U6" i="4"/>
  <c r="T6" i="4"/>
  <c r="V6" i="4" s="1"/>
  <c r="O6" i="4"/>
  <c r="AB5" i="4"/>
  <c r="AA5" i="4"/>
  <c r="Z5" i="4"/>
  <c r="U5" i="4"/>
  <c r="T5" i="4"/>
  <c r="V5" i="4" s="1"/>
  <c r="O5" i="4"/>
  <c r="AB4" i="4"/>
  <c r="AA4" i="4"/>
  <c r="Z4" i="4"/>
  <c r="U4" i="4"/>
  <c r="T4" i="4"/>
  <c r="V4" i="4" s="1"/>
  <c r="O4" i="4"/>
  <c r="AB3" i="4"/>
  <c r="AA3" i="4"/>
  <c r="Z3" i="4"/>
  <c r="U3" i="4"/>
  <c r="T3" i="4"/>
  <c r="V3" i="4" s="1"/>
  <c r="O3" i="4"/>
  <c r="AB2" i="4"/>
  <c r="AA2" i="4"/>
  <c r="Z2" i="4"/>
  <c r="U2" i="4"/>
  <c r="T2" i="4"/>
  <c r="V2" i="4" s="1"/>
  <c r="O2" i="4"/>
  <c r="I121" i="4" l="1"/>
  <c r="J121" i="4"/>
</calcChain>
</file>

<file path=xl/sharedStrings.xml><?xml version="1.0" encoding="utf-8"?>
<sst xmlns="http://schemas.openxmlformats.org/spreadsheetml/2006/main" count="668" uniqueCount="353">
  <si>
    <t>ID</t>
  </si>
  <si>
    <t>Aktiv (0/1)</t>
  </si>
  <si>
    <t>Name</t>
  </si>
  <si>
    <t>Kategorien (x, y, z. ..)</t>
  </si>
  <si>
    <t>Preis zzgl. MwSt.</t>
  </si>
  <si>
    <t>Preis inkl. MwSt.</t>
  </si>
  <si>
    <t>ID Steuersatz</t>
  </si>
  <si>
    <t>Einkaufspreis</t>
  </si>
  <si>
    <t>Artikel-Nr.</t>
  </si>
  <si>
    <t>Lieferant</t>
  </si>
  <si>
    <t>Hersteller</t>
  </si>
  <si>
    <t>EAN 13</t>
  </si>
  <si>
    <t>Beschreibung</t>
  </si>
  <si>
    <t>Stichwörter</t>
  </si>
  <si>
    <t>Meta-Title</t>
  </si>
  <si>
    <t>Meta-Suchworte</t>
  </si>
  <si>
    <t>Bestellbar (0/1)</t>
  </si>
  <si>
    <t>Preis anzeigen (0/1)</t>
  </si>
  <si>
    <t>URLs der Bilder</t>
  </si>
  <si>
    <t>RewriteLink</t>
  </si>
  <si>
    <t>tot. VK</t>
  </si>
  <si>
    <t>tot. EK</t>
  </si>
  <si>
    <t>Airsoft</t>
  </si>
  <si>
    <t>Haller</t>
  </si>
  <si>
    <t>VK kpl.</t>
  </si>
  <si>
    <t>EK kpl.</t>
  </si>
  <si>
    <t>Lagerbestand</t>
  </si>
  <si>
    <t>Ek Archery</t>
  </si>
  <si>
    <t>SSA</t>
  </si>
  <si>
    <t>Barnett</t>
  </si>
  <si>
    <t>Excalibur</t>
  </si>
  <si>
    <t>BlackFlash</t>
  </si>
  <si>
    <t>Ravin</t>
  </si>
  <si>
    <t>Maximal</t>
  </si>
  <si>
    <t>Steambow</t>
  </si>
  <si>
    <t>BARNETT Cross - Armbrusttasche</t>
  </si>
  <si>
    <t>Accueil,Outdoor plus,Armbrust,Zubehör</t>
  </si>
  <si>
    <t xml:space="preserve">BARNETT Cross - Armbrusttasche
Dieses Soft-Case von Barnett bietet optimalen Schutz für Ihre Armbrust. Für besten Komfort sorgt der gepolsterte, abnehmbare Schultergurt.
Weiteres Zubehör lässt sich ebenfalls problemlos in den beiden aufgesetzen Taschen verstauen. 
Abmessungen:
Gesamt LxBxH: ca. 105x85x8cm
Pfeiltasche LxB: ca. 60x23cm
Kleine Tasche LxB: ca. 25x17cm
</t>
  </si>
  <si>
    <t>TNC-4118-0268</t>
  </si>
  <si>
    <t>Easton Compoundbogen-Tasche 4118</t>
  </si>
  <si>
    <t>Accueil,Outdoor plus,Pfeilbogen,Zubehör</t>
  </si>
  <si>
    <t>Easton</t>
  </si>
  <si>
    <t>Just like its name suggests, the Work Horse 4118 bow case is designed to work as hard at protecting your bow as you do shooting it. A best-in-class case that fits most modern compound bows up to 41? in overall length like a glove. Incorporates an extra wide 5? deep side dimension for more inside storage, perfect for storing bows with quivers attached. Comes with many of Easton?s high-end features including: extra-thick internal corner pads for cam and limb protection, case-cube compatible fleece liner fabric, eight accessory and gear pockets, shoulder strap, tailored padded carry handle, and edge design aesthetics in two solid color and two camo colors.
Accommodates 1 bow up to 41? in overall length.
Overall dimensions 41? long x 18? high.
Extra-wide 5? side depth to accommodate bow-mounted quivers and maximum inside storage
Eight interior and exterior accessory pockets
Dedicated arrow box compartment
Case-cube compatible fleece main compartment
Dense 360° exterior padding
Re-positionable Velcro bow anchor system
Compatible with Easton arrow totes and Deluxe 33? and 36? arrow boxes
Shoulder strap included</t>
  </si>
  <si>
    <t>DB6-70662</t>
  </si>
  <si>
    <t>SPEED BAG 24 TARGET - 24"x24"x10"    470FPS</t>
  </si>
  <si>
    <t>Delta McKenzie</t>
  </si>
  <si>
    <t>SPEED BAG 24 TARGET - 24"x24"x10"
Für Armbrüste und Compoundbögen über 400fps</t>
  </si>
  <si>
    <t>DB6-70636</t>
  </si>
  <si>
    <t>SPEED BAG 20 TARGET - 20"x20"x8"    425FPS</t>
  </si>
  <si>
    <t>SPEED BAG 20 TARGET - 20"x20"x8"
Für Armbrüste und Compoundbögen über 400fps</t>
  </si>
  <si>
    <t>A030027</t>
  </si>
  <si>
    <t>Bloodline Armbrustpfeil Bolzen 22" von Easton</t>
  </si>
  <si>
    <t xml:space="preserve">Armbrustbolzen mit 22" Zoll Länge aus Carbon. Sehr robust und schnell. Eine der beliebtesten Bolzen.
Material: Carbon
Länge: 22"
Gewicht: 10,5 grains per inch
Mit geklebtem Insert
Ohne Spitze (Muss Separat bestellt werden)
Nocke: moon Nock
Preis pro Stück
Sehr robust
Farben der Vanes können abweichen. </t>
  </si>
  <si>
    <t>PKX3M20-620830</t>
  </si>
  <si>
    <t>Bloodline Armbrustpfeil Bolzen 20" von Easton</t>
  </si>
  <si>
    <t xml:space="preserve">Armbrustbolzen mit 20" Zoll Länge aus Carbon. Sehr robust und schnell. Eine der beliebtesten Bolzen.
Material: Carbon
Länge: 20"
Gewicht: 10,5 grains per inch
Mit geklebtem Insert
Ohne Spitze (Muss Separat bestellt werden)
Nocke: moon Nock
Preis pro Stück
Sehr robust
Farben der Vanes können abweichen. </t>
  </si>
  <si>
    <t>A030024</t>
  </si>
  <si>
    <t>Bloodline Armbrustpfeil Bolzen 20" von Easton flach</t>
  </si>
  <si>
    <t xml:space="preserve">Armbrustbolzen mit 20" Zoll Länge aus Carbon. Sehr robust und schnell. Eine der beliebtesten Bolzen.
Material: Carbon
Länge: 20"
Gewicht: 10,5 grains per inch
Mit geklebtem Insert
Ohne Spitze (Muss Separat bestellt werden)
Nocke: flat nocks
Preis pro Stück
Sehr robust
Farben der Vanes können abweichen. </t>
  </si>
  <si>
    <t>PAK-D-008M-16</t>
  </si>
  <si>
    <t>ARMBRUSTPFEIL MAN KUNG HAWK® 16" ALUMINIUM ROT</t>
  </si>
  <si>
    <t>EK-Poelang</t>
  </si>
  <si>
    <t xml:space="preserve">Geeignet ist dieser Armbrustpfeil für Compound- und Recurvearmbrüste mit einem Zuggewicht von bis zu 150lbs. Die Länge des Pfeiles beträgt ca. 40,6 cm. Der Pfeilschaft besteht aus Aluminium.
Spinewert: 2019
Farbe: Rot
Durchmesser: 9 mm
Gewicht ohne Pfeilspitze: ca. 17,6 g
BESTEHEND AUS:
geschraubter Feldspitze Gewicht: ca. 8,01 g (ca. 125 grains)
4" (ca. 10,1 cm) Kunststoffbefiederung
Mono Nock Endkappe
Die Spitzen des Pfeiles sind schraubbar, somit ist eine Montage von anderen Spitzen möglich.  </t>
  </si>
  <si>
    <t>A017193</t>
  </si>
  <si>
    <t>Maximal Armbrustpfeil Scorpio 8.7mm Bolzen 16" 12Stk</t>
  </si>
  <si>
    <t>Armbrustbolzen mit 16" Zoll Länge aus Carbon. Sehr robust und schnell. Eine der beliebtesten Bolzen.
Material: Carbon
Länge: 16"</t>
  </si>
  <si>
    <t>PFE-BN-CH1900</t>
  </si>
  <si>
    <t>BARNETT Compoundbogen Pfeil 3er Set 28"</t>
  </si>
  <si>
    <t>BARNETT Compoundbogen Pfeil 3er Set 28"
Material: Fiberglas
Länge: 28"</t>
  </si>
  <si>
    <t>A028403</t>
  </si>
  <si>
    <t xml:space="preserve">Avalon Tyro 4.2 Carbon Komplettpfeil 800 / 90GR </t>
  </si>
  <si>
    <t>Avalon</t>
  </si>
  <si>
    <t>ARROWS CARBON TYRO 4.2 800 30" LENGTH / 2" VANES/ PIN-NOCK SML / 90GR POINT PER UNIT</t>
  </si>
  <si>
    <t>A028402</t>
  </si>
  <si>
    <t>Avalon Tyro 4.2 Carbon Komplettpfeil 900 / 70gr</t>
  </si>
  <si>
    <t>Avalon Recurvebogen Pfeil Tyro 4.2  900 29" EP 23/ in Nock sml 70gr Point per unit
Material: Carbon
Länge: 29"</t>
  </si>
  <si>
    <t>A028400</t>
  </si>
  <si>
    <t>Avalon Tyro 4.2 Carbon Komplettpfeil 1100 / 70gr</t>
  </si>
  <si>
    <t>Avalon Recurvebogen Pfeil Tyro 4.2  1100 29" EP 23/ in Nock sml 70gr Point per unit
Material: Carbon
Länge: 29"</t>
  </si>
  <si>
    <t>DB6-ERA-FUN-T</t>
  </si>
  <si>
    <t>ERA Targets Bags Target 4kg  55cmx55cm</t>
  </si>
  <si>
    <t>ERA</t>
  </si>
  <si>
    <t>DB6-H63100</t>
  </si>
  <si>
    <t>Fieldlogic Targets Targets Bags Storm 2-25  - 27"x4.5"x28"</t>
  </si>
  <si>
    <t>Fieldlogic</t>
  </si>
  <si>
    <t>Fieldlogic Targets Targets Bags Storm 2-25  - 27"x4.5"x28"
Für Armbrüste und Compoundbögen über 400fps</t>
  </si>
  <si>
    <t>D-110A2</t>
  </si>
  <si>
    <t>R9 CARBON BOLT 10stk</t>
  </si>
  <si>
    <t>Ersatzbolzen für EK Archery Cobra R9 Deluxe Pack
Lieferumfang: 10 Bolzen 7,5" lang
Gewicht eines Bolzens: 155gr +-5gr
2" Befiederung</t>
  </si>
  <si>
    <t>Ersatzbolzen für EK Archery Cobra RX Deluxe Pack
Lieferumfang: 10 Bolzen 15" lang
Gewicht eines Bolzens: 235gr +-5gr
2" Befiederung</t>
  </si>
  <si>
    <t>D-030B-C4</t>
  </si>
  <si>
    <t>Ek Carbon Compound Bogen Pfeil 30" 6stk</t>
  </si>
  <si>
    <t>Suitable for use in the bow
VANES COLOR ：2 YELLOW 1 RED 
NOCK COLOR ：RED
7.8 mm
30"
6 PCS BOX PACK</t>
  </si>
  <si>
    <t>B10048</t>
  </si>
  <si>
    <t>Tasche für Pistolenarmbrust, Cobra R9 / RX</t>
  </si>
  <si>
    <t>Diese Armbrust Tasche von EK Archery Bag eignet sich für die R9-Armbrust, sowohl in der Standard als auch der  Deluxe Version.
Die Tasche besteht aus Polyester und ist in Schwarz gehalten. An der Tasche befindet sich ein Schultergurt für bequeme Mobilität und Benutzerfreundlichkeit.
Hergestellt von Ek zu einem sehr hohen Standard.</t>
  </si>
  <si>
    <t>B10032</t>
  </si>
  <si>
    <t>Tasche Breit</t>
  </si>
  <si>
    <t>Armbrusttasche breit 30"</t>
  </si>
  <si>
    <t>B10031</t>
  </si>
  <si>
    <t>Tasche schmal</t>
  </si>
  <si>
    <t>Armbrusttasche breit 21"</t>
  </si>
  <si>
    <t>B10033</t>
  </si>
  <si>
    <t>Tasche für  Siege</t>
  </si>
  <si>
    <t>Armbrusttasche zu Siege</t>
  </si>
  <si>
    <t>D-119A</t>
  </si>
  <si>
    <t>Carbonbolzen speziell für den Einsatz im EK Cobra System Adder. Auch verwendbar in der R9 oder RX.
7,5" lang
190 grain schwer
inkl. Schraubspitze</t>
  </si>
  <si>
    <t>A010997</t>
  </si>
  <si>
    <t>Portable Target Storm 2-20</t>
  </si>
  <si>
    <t>Hurricane</t>
  </si>
  <si>
    <t>Shot blocker Hurricane Storm II bis FPS 600+
Features:
Available in 20" 
600 FPS+ stopping power
Ultra durable
Easy 2 finger arrow removal
Built to weather nearly any circumstance the new Hurricane Storm II targets are extremely durable and is designed to stop field-tipped arrows and crossbow bolts shot at up to 600+ fps while still maintaining effortless arrow removal. Measuring either 20x24x10 inches the Storm II targets are super-stuffed versions of their predecessor with high-contrast Hurricane aiming points and offset bullseyes for longer target life.</t>
  </si>
  <si>
    <t>A010998</t>
  </si>
  <si>
    <t>Portable Target Storm 2-25</t>
  </si>
  <si>
    <t>Shot blocker Hurricane Storm II bis FPS 600+
Features:
Available in 25"
600 FPS+ stopping power
Ultra durable
Easy 2 finger arrow removal
Built to weather nearly any circumstance the new Hurricane Storm II targets are extremely durable and is designed to stop field-tipped arrows and crossbow bolts shot at up to 600+ fps while still maintaining effortless arrow removal. Measuring either 25x25x12 inches the Storm II targets are super-stuffed versions of their predecessor with high-contrast Hurricane aiming points and offset bullseyes for longer target life.</t>
  </si>
  <si>
    <t>TARGET SET 60X60X10CM</t>
  </si>
  <si>
    <t>EK Archery Armbrust/Bogen Zielmatte Schaumstoff mit Holzständer
Dieses Ziel von EK Archery wurde entwickelt, um Recurve- und Compound-Armbrüste mit niedriger bis mittlerer Leistung (bis ca. 130Lbs) zu stoppen,
und wird mit Holzbeinen geliefert, die es ermöglichen, das Ziel freistehend zu verwenden.
Ziel misst 60 cm x 60 cm x 10 cm.</t>
  </si>
  <si>
    <t>Carbonpfeil Länge 30</t>
  </si>
  <si>
    <t>Fiberglaspfeil Länge 30</t>
  </si>
  <si>
    <t>A017197</t>
  </si>
  <si>
    <t>Scorpio Carbon Bolzen 20" 12er Pack</t>
  </si>
  <si>
    <t>0000311</t>
  </si>
  <si>
    <t>Jagdpfeile für EK-Archery 5stk.</t>
  </si>
  <si>
    <t>Jagdpfeile mit scharfer Klinge  – Set aus 5 Stk., passend für Ek-Archery Research™ Cobra System RX ADDER und Cobra System R9.
Diese Jagdpfeile sind speziell für die Verwendung in Magazinen entwickelt: Absolute Zuverlässigkeit beim Repetiervorgang, hervorragende Flugeigenschaften und Präzision, sowie eine starke Wirkung im Ziel. Dank unserer langjährigen Erfahrung mit Armbrustjagd und speziell auch mit Repetierarmbrüsten wissen wir worauf es bei solchen Pfeilen ankommt.
Balance und Schwerpunkt des Pfeils sind sorgsam entwickelt und für eine hervorragende und präzise Flugbahn optimiert. Die Pfeilspitze, also das Insert mit der Klinge, ist fest im Carbonschaft verklebt. Die Klinge befindet sich damit stets in Flucht mit Befiederung und Nocke und die Repetierarmbrust arbeitet absolut zuverlässig. Dennoch ist die Klinge verschraubt und kann ausgetauscht werden. Unsere Nocken fertigen wir aus hochwertigem Polymer, um jegliche Probleme bei Zuführung und Abschuss zu vermeiden. Pfeillänge, Befiederung sowie Geometrie und Größe der Klinge sind auf das Magazin der ADDER Repetierarmbrust abgestimmt. Diese Pfeile lassen sich jedoch auch mit den meisten einschüssigen Armbrüsten gut verwenden.
Hinweis: Diese Pfeile funktionieren sowohl im originalen 5-Schuss Magazin der ADDER also auch im Tuning-Magazin mit 7-Schuss und Schnelllader der Firma GoGun GmbH aus Deutschland.
Schnittbreite: 22,5 mm
Gewicht des Pfeils: 13,3 Gramm (205 grains)
Die Klinge ist aus rostfreiem Stahl gefertigt, ab Werk scharf angeschliffen und mit einer Dicke von 1 mm sehr robust ausgeführt.
Achtung: Erkundigen Sie sich vor dem Kauf bzgl. der Jagd- und Waffengesetze in Ihrem Land. Die Jagd mit der Armbrust ist in vielen europäischen Ländern verboten! Unter Umständen gibt es auch Einschränkungen bzgl. Besitz und Führens solcher Pfeile.</t>
  </si>
  <si>
    <t>0000192</t>
  </si>
  <si>
    <t>Stinger taktische Waffenlampe</t>
  </si>
  <si>
    <t>Taktische Waffenlampe für die seitliche Montage am AR-6 Stinger.
Im Lieferumfang befindet sich zusätzlich eine passende Zubehörschiene und das notwendige Befestigungsmaterial.
Batterie (Type CR-2) muss separat besorgt werden.</t>
  </si>
  <si>
    <t>0000150</t>
  </si>
  <si>
    <t>Stinger Rotpunktvisier</t>
  </si>
  <si>
    <t>Hochwertiges Rotpunktvisier für die AR-6 Stinger.
Komplett aus Aluminium gefertigt. Wechselbares Absehen (Wahlweise: „Fadenkreuz“ für präzise Schüsse, „Kreis“ für schnelle Zielerfassung oder ein „Punkt“ um wenig vom Ziel zu verdecken) sowie wechselbare Farbe und Helligkeit des Absehens. Durch wahlweise Rot oder Grün hat man je nach Umgebung den bestmöglichen Kontrast. Die Helligkeitseinstellung ist vor allem bei schlechtem Licht notwendig um das Ziel nicht zu überstrahlen bzw. um die Nachtsicht nicht zu beeinträchtigen. Das Visier ist wiederholgenau einstellbar und bieten einen weiten Verstellbereich. Mit dem mitgelieferten Inbusschlüssel ist die Justage (und auch die Montage) blitzschnell erledigt.
Batterien sind im Lieferumfang enthalten und haben eine lange Lebensdauer. Farbe: schwarz.</t>
  </si>
  <si>
    <t>B10018-3K</t>
  </si>
  <si>
    <t>Red Dot</t>
  </si>
  <si>
    <t>illuminated Red Dot</t>
  </si>
  <si>
    <t>A048176</t>
  </si>
  <si>
    <t>50X50X30CM TEC50 ZIELSCHEIBE FÜR BOGENSCHIESSEN UND ARMBRUST</t>
  </si>
  <si>
    <t>Avalon 50x50x30cm TEC50 Zielscheibe für Bogenschießen und Armbrust: funktionell und ergonomisch
Die Avalon TEC50 50x50x30cm Zielscheibe für Bogenschießen und Armbrust besteht aus leichtem Schaumstoff, der nicht an Pfeilen klebt. Diese Zubehör stoppt selbst die schnellsten Pfeile, die von starken Compounds abgeschossen werden. Es ist sehr einfach, die Pfeile von der Zielscheibe zu entfernen. Die Lebensdauer dieses Armbrust-Zubehörs kann durch Austauschen der gebrauchten Schaumstoffplatten verlängert werden. Die Zielscheibe kann auf den Boden gestellt oder mit einem Griff aufgehängt werden.
Merkmale der 50x50x30cm TEC50 Zielscheibe für Bogenschießen und Armbrust:
Ungefähre Größe: 50cmx50cm
Gewicht: 11,5 Kg</t>
  </si>
  <si>
    <t>A048177</t>
  </si>
  <si>
    <t>70X70X30CM TEC70 ZIELSCHEIBE FÜR BOGENSCHIESSEN UND ARMBRUST</t>
  </si>
  <si>
    <t>Avalon 70x70x30cm TEC70 Zielscheibe für Bogenschießen und Armbrust: funktionell und ergonomisch
Die Avalon TEC70 70x70x30cm Zielscheibe für Bogenschießen und Armbrust besteht aus leichtem Schaumstoff, der nicht an Pfeilen klebt. Diese Zubehör stoppt selbst die schnellsten Pfeile, die von starken Compounds abgeschossen werden. Es ist sehr einfach, die Pfeile von der Zielscheibe zu entfernen. Die Lebensdauer dieses Armbrust-Zubehörs kann durch Austauschen der gebrauchten Schaumstoffplatten verlängert werden. Die Zielscheibe kann auf den Boden gestellt oder mit einem Griff aufgehängt werden.
Merkmale der 70x70x30cm TEC70 Zielscheibe für Bogenschießen und Armbrust:
Ungefähre Größe: 70cmx70cm
Gewicht: 13 Kg</t>
  </si>
  <si>
    <t>VD-067BK</t>
  </si>
  <si>
    <t xml:space="preserve">CARBON ARROW 8.8mm 20" </t>
  </si>
  <si>
    <t>Suitable for use in the crossbow
VANES COLOR ：2 YELLOW 1 RED</t>
  </si>
  <si>
    <t>D-067B3</t>
  </si>
  <si>
    <t>CARBON ARROW 8.8mm 20" 6 Stk.</t>
  </si>
  <si>
    <t>D-069B-C3</t>
  </si>
  <si>
    <t>CARBON ARROW 8.8mm 22" 6 Stk.</t>
  </si>
  <si>
    <t>A011161</t>
  </si>
  <si>
    <t xml:space="preserve">
FOAM TARGET FORMAT SINGLE B 80x80x7/8cm WITH PANEL</t>
  </si>
  <si>
    <t>A011163</t>
  </si>
  <si>
    <t xml:space="preserve">
FOAM TARGET FORMAT SINGLE B 80x80x12cm WITH PANEL</t>
  </si>
  <si>
    <t>A022825</t>
  </si>
  <si>
    <t xml:space="preserve">
AVALON METAL TARGET STAND</t>
  </si>
  <si>
    <t>Dimensions: H133xW70xD30cm (assembled) - Target stands with 4 legs - Fits a 80 to 90 cm target - Delivered unassembled - Incl. instructional manual - Easy to install - Excellent target stand for leisure use</t>
  </si>
  <si>
    <t>D-120A1-A</t>
  </si>
  <si>
    <t>SIEGE CARBON BOLT 15.5" 6er Packung</t>
  </si>
  <si>
    <t>DESIGNED SPECIFICALLY FOR SIEGE COBRA SYSTEM
SIZE :15.5"
Bolt Weight : 280gr(±5)
Features 2" VANES 2 RED 1 WHITE 
D-120A1-A : 6 PCS Pack</t>
  </si>
  <si>
    <t>0000362</t>
  </si>
  <si>
    <t>Stinger – taktische Lampe inkl. Universalhalterung</t>
  </si>
  <si>
    <t>Taktische Lampe mit Universalhalterung für die AR-6 Serie.
Lieferumfang:
Taktische Lampe
Batterie
Universalhalterung
Schrauben, Muttern und Werkzeug
Gebrauchsanweisung:
Montage Universalhalterung
Passend für alle 7-Slot Befestigungen, wie am AR-6 Stinger mit Metallmagazin oder dem FENRIS-Magazin.Kann auch anstelle der Picatinny-Schiene mit Schraubenlochabstand von 40mm oder 60mm verbaut werden.</t>
  </si>
  <si>
    <t>M3 Q5 LED Tactical Illuminator</t>
  </si>
  <si>
    <t>Union Fire</t>
  </si>
  <si>
    <t>Batterien 2x Cr123 (werden mitgeliefert)</t>
  </si>
  <si>
    <t>A050643</t>
  </si>
  <si>
    <t>SKYLON X-BOW BOLTS CARBON Ø 8,7 MM 20" MOONNOCK + EINSATZ + SPITZE 6/PCK</t>
  </si>
  <si>
    <t>SKYLON</t>
  </si>
  <si>
    <t>MarkeSkylon/Länge (Zoll)20/Verpackung6/Pkg/ArtHalbmondnock</t>
  </si>
  <si>
    <t>SKU0000426</t>
  </si>
  <si>
    <t>Stinger Pfeilfangmatte</t>
  </si>
  <si>
    <t>Die von uns speziell für die Stinger gefertigte Zielscheibe ist ein hochwertiges, in Österreich hergestelltes Ziel für unsere Repetierarmbrüste.
Auf der Vorderseite sind 9 kleine Ziele angebracht, die ideal für die AG-6 Stinger sind. Auf der Rückseite befindet sich ein großes Ziel. Somit kann diese Matte beidseitig nach persönlicher Präferenz verwendet werden.
Diese Matte kann sowohl mit den Übungspfeilen, als auch mit den Jagd- und Bodkinpfeilen problemlos beschossen werden.</t>
  </si>
  <si>
    <t>A017202</t>
  </si>
  <si>
    <t>RAVIN CROSSBOW BOLTS CARBON RAVIN WITH ORANGE NOCKS .003 6/PACK</t>
  </si>
  <si>
    <t xml:space="preserve"> 400 grain (with 100 grain field tip- not included) - Use in Ravin Crossbows only - 100% pure carbon construction - Straightness tolerance: .003” - High-impact brass threaded inserts - 2” high-profile offset vanes - High-impact aluminum nock bushings - Ravin-engineered polymer nocks</t>
  </si>
  <si>
    <t>A055942</t>
  </si>
  <si>
    <t>MAXIMAL XBOW ADJUSTABLE CROSSBOW BI-POD</t>
  </si>
  <si>
    <t>Bi-pod stand for crossbows by Maximal.
Mounts toolless on picatinny rail.
Black anodized aluminum.
90° lateral adjustable.
5 height positions. (21cm to 26cm)
Weight: 320g.</t>
  </si>
  <si>
    <t>A054553</t>
  </si>
  <si>
    <t>KILLER INSTINCT Hypr Swat - Carbonbolzen - 22 Zoll - 6er Pack</t>
  </si>
  <si>
    <t>Killer Instinct</t>
  </si>
  <si>
    <t>KILLER INSTINCT Hypr Swat - Carbonbolzen - 22 Zoll - 6er Pack
Das hohe Gewicht des HYPR Swat Armbrustbolzens liefert maximale Durchschlagskraft. Die fortschrittliche Carbon-Konstruktion sorgt für einen gleichbleibenden Spine und damit für höhere Genauigkeit, außergewöhnliche Zuverlässigkeit und Präzision. Die 22 Zoll langen Bolzen sind mit Q2i Fusion® X-II 3.0" Vanes befiedert und verfügen über eine vorinstallierte ARC Nocke.
Entwickelt für die Verwendung mit der KILLER INSTINCT Swat XP Armbrust.
Technische Daten:
Länge: 22 Zoll
Geradheit: .003 Zoll
Gewicht (gesamt): 400gr
Innendurchmesser: 0.300 Zoll
Außendurchmesser: 0.346 Zoll
Nocke: ARC Nocke</t>
  </si>
  <si>
    <t>B10044A</t>
  </si>
  <si>
    <t>7 Schuss Adder Magazin Set 2.0 Version</t>
  </si>
  <si>
    <t xml:space="preserve">7 Schuss Magazin für Cobra Adder Set 2,0 Version
Endlich! Nach langer Wartezeit und auf Grund der hohen Nachfrage hat EK Archery ein neues, 7-schüssiges Magazin für die Cobra Adder entwickelt.
Dieses Magazin passt auf alle Cobra Adder als Nachrüstkit. Roter Laser kann ebenfalls montiert werden ( bitte  mitbestellen 39.-)
- passend für EK Archery Cobra Adder
- inkl. 7 Bolzen für Cobra Adder (blaue Befiederung)
- inkl. Befestigungsschraube </t>
  </si>
  <si>
    <t>B10030</t>
  </si>
  <si>
    <t>Compound Bogentasche</t>
  </si>
  <si>
    <t>0000469</t>
  </si>
  <si>
    <t>AR-6 Stinger II Klappschaft-Adapter</t>
  </si>
  <si>
    <t>Adapter um die Schulterstütze der AR-6 Stinger II klappbar zu machen.</t>
  </si>
  <si>
    <t>28328</t>
  </si>
  <si>
    <t>4x32IR Combo Combat Scope</t>
  </si>
  <si>
    <t>Aim-O</t>
  </si>
  <si>
    <t>Aim-O ist einer der zuverlässigsten Optikhersteller für Airsoft-Waffen. Das breite Angebot umfasst unter anderem: Rotpunktvisiere, Prismen-/Variablen-/Scharfschützen-Zielfernrohre, Montageringe und Risers. Die Liebe zum Detail, moderne Designs und eine große Qualitätskontrolle garantieren, dass die AIM-O Produkte Sie auf dem Schlachtfeld nicht im Stich lassen werden.   Länge: 150 mm
Gewicht: 450 g
Versandgewicht: 530 g                                                                                                                                                                                                                                                                                                                                                                                                                                                                                                          inkl. Batterien: 2 x LR48 und 1 x CR2032</t>
  </si>
  <si>
    <t>28326</t>
  </si>
  <si>
    <t>4x32IR QD Combat Scope</t>
  </si>
  <si>
    <t>Aim-O ist einer der zuverlässigsten Optikhersteller für Airsoft-Waffen. Das breite Angebot umfasst unter anderem: Rotpunktvisiere, Prismen-/Variablen-/Scharfschützen-Zielfernrohre, Montageringe und Risers. Die Liebe zum Detail, moderne Designs und eine große Qualitätskontrolle garantieren, dass die AIM-O Produkte Sie auf dem Schlachtfeld nicht im Stich lassen werden.   inkl. Batterien: 2 x LR48
Länge: 155 mm
Gewicht: 400 g
Versandgewicht: 510 g</t>
  </si>
  <si>
    <t>28330</t>
  </si>
  <si>
    <t>4x32IR QD Combo Combat Scope</t>
  </si>
  <si>
    <t>Aim-O ist einer der zuverlässigsten Optikhersteller für Airsoft-Waffen. Das breite Angebot umfasst unter anderem: Rotpunktvisiere, Prismen-/Variablen-/Scharfschützen-Zielfernrohre, Montageringe und Risers. Die Liebe zum Detail, moderne Designs und eine große Qualitätskontrolle garantieren, dass die AIM-O Produkte Sie auf dem Schlachtfeld nicht im Stich lassen werden.   Länge: 150 mm
Gewicht: 430 g
Versandgewicht: 510 g                                                                                                                                                                                                                                                                                                                                                                                                                                                                                                          inkl. Batterien: 2 x LR48 und 1 x CR2032</t>
  </si>
  <si>
    <t>0000541</t>
  </si>
  <si>
    <t>AR-6 Stinger II Upgrade-Kit “Schnellwechsel-Wurfarme”</t>
  </si>
  <si>
    <t>Das AR-6 Stinger II Upgrade-Kit “Schnellwechsel-Wurfarme” ermöglicht dir den schnellen und unkomplizierten Wechsel des Wurfarms deiner AR-6 Stinger II. Damit passt die AR-6 Stinger II in fast jeden Rucksack und ist in Sekundenschnelle aufgebaut und feuerbereit.</t>
  </si>
  <si>
    <t>0000539</t>
  </si>
  <si>
    <t>AR-6 Stinger II – Magazindeckel für Zielfernrohrmontage inkl. Feder</t>
  </si>
  <si>
    <t>Magazindeckel für die AR-6 Stinger II mit Picatinny-Schiene für die Montage eines Visiers, wie beispielsweise unser Zielfernrohr.</t>
  </si>
  <si>
    <t>Aim-O ist einer der zuverlässigsten Optikhersteller für Airsoft-Waffen. Das breite Angebot umfasst unter anderem: Rotpunktvisiere, Prismen-/Variablen-/Scharfschützen-Zielfernrohre, Montageringe und Risers. Die Liebe zum Detail, moderne Designs und eine große Qualitätskontrolle garantieren, dass die AIM-O Produkte Sie auf dem Schlachtfeld nicht im Stich lassen werden.   Länge: 155 mm
Gewicht: 420 g
Versandgewicht: 520 g</t>
  </si>
  <si>
    <t>A016681</t>
  </si>
  <si>
    <t>MAXIMAL SMALL GAME BROADHEADS FOX BLUNT 100 GR SCREW-IN 6/PK</t>
  </si>
  <si>
    <t>Weight: 100gr - Great for small game hunt</t>
  </si>
  <si>
    <t>A016393</t>
  </si>
  <si>
    <t>FIXED BLADE BROADHEADS MONTEC 100 GR 3/PK</t>
  </si>
  <si>
    <t>Montec</t>
  </si>
  <si>
    <t>The Montec broadhead's foolproof design combines tough one-piece, all-steel construction with 100% spin-tested accuracy. With no components to assemble or replace, simply screw on and shoot. This simple to use, high-performance broadhead is what every hard-core hunter is looking for. - 100% Steel Tough - Cut-On-Contact Design - Diamond Cut Sharpness - One-Piece MIM Construction - 100% Spin Tested</t>
  </si>
  <si>
    <t>A016472</t>
  </si>
  <si>
    <t>MAXIMAL Cutback - 100gr - Broadhead - Pack of 6</t>
  </si>
  <si>
    <t>MAXIMAL Cutback - 100gr - Pfeilspitzen - 6er Packung 
Maximal Cutback Pfeilspitzen sind so konzipiert, dass sie auf Pfeile oder Bolzen geschraubt werden können. Die Jagdspitze hat drei feststehende Klingen und einen Schnittdurchmesser von 3,3 cm. Die Jagdspitzen sind für alle Pfeile geeignet, die mit Schraubspitzen ausgestattet sind.
Technische Daten:
Gewicht: 100 gr
Schnittdurchmesser: 3,3 cm
Lieferumfang:
1 Packung mit 6 Jagdspitzen</t>
  </si>
  <si>
    <t>A016403</t>
  </si>
  <si>
    <t>EXPANDABLE BROADHEADS KILLZONE C.O.C. 125 GR 2 BLADE SCREW-IN 3/PK</t>
  </si>
  <si>
    <t>NAP</t>
  </si>
  <si>
    <t>The Killzone® is a 2 blade rear-deploying mechanical broadhead that packs a devastating 2″ cutting diameter. The field-point accurate Killzone® uses NAP’s unique spring-clip design which ensures your blades won’t open in flight or in your quiver. There are no o-rings or rubber bands to worry about. - 2” Cutting Diameter: The massive 2” cutting diameter creates devastating entry and exit wounds for quicker recoveries. - No O-Rings or Rubber Bands: NAP’s spring-clip design holds your blades closed in your quiver and in flight, every time. - Cut-On-Contact Tip: The Killzone® is available with a cut-on-contact razor tip for extreme cutting and penetration.Brand	NAP
Farbe	Blau
Tariff No.	95069990
Klingen	2
Gewicht	12</t>
  </si>
  <si>
    <t>A016384</t>
  </si>
  <si>
    <t>EXPANDABLE BROADHEADS SHOCKWAVE 125 GR 3 BLADE SCREW-IN 3/PK</t>
  </si>
  <si>
    <t>Want the best mechanical broadhead that uses an o-ring to hold the blades closed during flight? Shockwave mechanical broadheads give you all the quality, sharpness and durability of an NAP mechanical broadhead at an economical price. Shockwaves fly like a field point – guaranteed. - Cutting Diameter: 1 1/4"Brand	NAP
Farbe	Schwarz
Tariff No.	95069990
Klingen	3
Gewicht	125</t>
  </si>
  <si>
    <t>B10064</t>
  </si>
  <si>
    <t>Vlad Polyester Armbrusttasche</t>
  </si>
  <si>
    <t>B10063</t>
  </si>
  <si>
    <t>Vlad Schnelllader</t>
  </si>
  <si>
    <t>Mit dem innovativen Schellader können 8 Standardbolzen transportiert und unmittelbar in das 8-Schussmagazin der Vlad Repetierarmbrust nachgeladen werden.</t>
  </si>
  <si>
    <t>CR-1211B-30</t>
  </si>
  <si>
    <t>Vlad Wurfarm 30lbs</t>
  </si>
  <si>
    <t>Passender 30lbs Wurfarm für die Vlad Repetierarmbrust mit vormontierter Sehne und Wurfarm-Schnellwechselsystem der sofort Einsatzbereit ist. Die passende Ersatzsehne für den 30lbs Wurfarm ist separat verfügbar.
Spezifikationen
Zuggewicht30lbs
Lieferumfang
1x Vlad 30lbs Wurfarm mit Schnellwechselsystem
2x Wurfarmendkappen
1x 30lbs Sehne</t>
  </si>
  <si>
    <t>D-015A10</t>
  </si>
  <si>
    <t>Alu Bolzen 6.5" gold 10er Packung</t>
  </si>
  <si>
    <t>0000401</t>
  </si>
  <si>
    <t>Stinger Bodkinpfeile – Set aus 6 Stk.</t>
  </si>
  <si>
    <t>Unsere Bodkinpfeile für die AR-6 Stinger wurden für maximale Durchdringungskraft konzipiert.
Mit einem Gewicht von 10,5 g / 162 grains pro Pfeil und einer gehärteten, hohl geschliffenen Stahlspitze sind diese Pfeile extrem effektiv.
Das elegante, komplett schwarze Design mit der Steambow Lasergravur runden diese Pfeile perfekt ab.
Lieferumfang:
6 Bodkinpfeile mit gehärteter Stahlspitze</t>
  </si>
  <si>
    <t>0000250</t>
  </si>
  <si>
    <t>Stinger Jagdpfeile – Set aus 3 Stk.</t>
  </si>
  <si>
    <t>Jagdpfeile mit scharfer Klinge – Set aus 3 Stk., passend für AR-6 Stinger – Schaft rot eloxiert.
Durch den rot eloxierten Aluminium-Schaft ist eine gute Unterscheidbarkeit im Magazin möglich.
Balance und Schwerpunkt sind für eine hervorragende Flugbahn optimiert – Daher verwenden wir eine schwere Edelstahlspitze, sowie einen durchgehend hohlen Aluminiumschaft.
Die speziell geformte Spitze ist für eine reibungslose Funktion im Magazin der AR-6 Stinger entwickelt.
Pfeilgewicht: 10 g / 154 grains
Schnittbreite: 21mm
Die Klinge ist aus rostfreien Stahl gefertigt und mit einer Dicke von 1 mm sehr robust ausgeführt.
Achtung: Erkundige dich vor dem Kauf bzgl. der Jagd- und Waffengesetze in deinem Land. Die Jagd mit der Armbrust ist in vielen europäischen Ländern verboten! Unter Umständen gibt es auch Einschränkungen bzgl. Besitz und Führens solcher Pfeile.</t>
  </si>
  <si>
    <t>0000215</t>
  </si>
  <si>
    <t>Stinger Übungspfeile – Set aus 10 Stk.</t>
  </si>
  <si>
    <t>Hochwertige Übungspfeile für die AR-6 Stinger. Blau eloxiert für gute Unterscheidbarkeit im Magazin.
Die Pfeile sind komplett aus Aluminium gefertigt und haben eine perfekte Balance. Die Spitze ist gedreht und in den Schaft verklebt.
Die Befiederung ist aus weichem Gummi und ermöglicht eine saubere Flugbahn. Bei zu weichen Zielen können die Federn abgestreift werden. Mit einem Modellbaukleber wie z.B. „UHU hart“ können die Federn wieder befestigt werden.
Die Packung enthält 10 Übungspfeile.
ACHTUNG: Verwende keinesfalls verbogene Pfeile in deinem AR-6 Stinger. Fehlschüsse können dadurch ausgelöst werden. Solche „Trockenschüsse“ können Sehne und Wurfarm beschädigen.</t>
  </si>
  <si>
    <t>0000424</t>
  </si>
  <si>
    <t>Schnelllader für AR-6 Stinger II (5 Pfeile)</t>
  </si>
  <si>
    <t>Schnelllader zum raschen Befüllen des Magazins. Ausgelegt für 5 Pfeile.
Lieferumfang:
1 Schnelllader für 5 Pfeile
3 Befestigungsschnüre (blau, rot und schwarz)
Farbe der Befestigungsschnur signalisiert Typ der geladenen Pfeile.
Pfeile sind nicht im Lieferumfang enthalten.</t>
  </si>
  <si>
    <t>0000471</t>
  </si>
  <si>
    <t>Taktischer Pfeilköcher für AR-6 Stinger II</t>
  </si>
  <si>
    <t>Mit dem neuen taktischen Pfeilköcher lassen sich die 5er-Speedloader für die AR-6 Stinger II ideal tragen, lagern und gefahrlos transportieren.
Der Pfeilköcher ist für das MOLLE-System ausgelegt und lässt sich daher auf vielen Rucksäcken, Westen oder ähnlichen Kleidungsstücken stabil anbringen. Außerdem lässt sich der Speedloader, in verschiedenen Winkeln, auch an einem Gürtel oder am Hosenbund tragen. Durch die mitgelieferte Picatinny-Halterung kannst du den Pfeilköcher überdies direkt an der Stinger II befestigen, so hast du weitere Pfeile stets griffbereit.
Achtung: Für die seitliche Befestigung an der Stinger II benötigst du überdies die optionale seitliche Picatinnyschiene (Artikel Nr.: 0000472)Lieferumfang:
1 Taktischer Pfeilköcher für AR-6 Stinger II
1 Schnelllader V2
1 Gürtelclip
1 Picatinny-Montageblock
benötigte Schrauben und Montagematerial</t>
  </si>
  <si>
    <t>0000420</t>
  </si>
  <si>
    <t>AR-6 Stinger II – Wurfarm „PRO“ (90 lbs)</t>
  </si>
  <si>
    <t>Unser neuer Glas-/Carbon-Wurfarm AR-6 Stinger II „PRO“ liefert deutlich mehr kinetische Energie als der Standardbogen der AR-6 Stinger II.
Hinweis:
Das Zuggewicht, in diesem Fall 90 lbs, ist kein ausreichender Indikator für die Leistungsfähigkeit des Bogens einer Armbrust!
Viele Faktoren, wie z.B. die Länge der Beschleunigungsstrecke, die Effizienz des Bogens, die Federkennlinie des Bogens, das Gewicht des Pfeils, das Gewicht der Sehne und einiges mehr haben Auswirkungen auf die Energie, die der Pfeil beim Abschuss übertragen bekommt.
Je nachdem wie schwer der Pfeil ist und wie oft die Sehne eingedreht wird (das verkürzt die Sehne), liefert dieser Bogen auf der AR-6 Stinger II zwischen 18 – 21 Joule an kinetischer Energie.
Achtung:
Der “PRO” Wurfarm mit 90 lbs ist nicht für alltägliche Trainingszwecke geeignet!
Vielmehr handelt es sich um einen Wurfarm, der für spezielle Bereiche entwickelt wurde, so z.B. für die Jagd, für besonders hohe Reichweiten oder für die Verteidigung.
Nutze mit dem 90 lbs Bogen ausschließlich geeignete und ausreichend schwere (&gt;10 Gramm/154 grains) Pfeile, wie unsere Jagd- und Bodkinpfeile.
Unsere blauen Übungspfeile sind aufgrund des Gewichts nur eingeschränkt für den “PRO” Wurfarm geeignet und belasten Sehne und Wurfarmendkappen. Zu leichte Pfeile belasten das Material ähnlich wie ein Trockenschuss und führen schnell zu Rissen in den Endkappen.
Beachte bitte außerdem, dass der “PRO” Wurfarm auch bei bestimmungsgemäßem Gebrauch zu höherem Verschleiß der Sehne führt.
Schäden durch Trockenschüsse, zu leichte Pfeile oder wegen fehlender Wartung sind nicht durch unsere Garantie abgedeckt!
Die neuen Wurfarme der AR-6 Stinger II passen nicht auf die Vorgängerversionen der AR-6 Stinger.
Außerdem ist der „PRO“ Wurfarm für die AR-6 Stinger II Compact ungeeignet, da die nötige Kraft zum Spannen direkt aufgebracht werden muss und dieser Wurfarm daher in aller Regel zu stark ist.</t>
  </si>
  <si>
    <t>A054362</t>
  </si>
  <si>
    <t>EXCALIBUR Armbrusttasche - FITS ALL MICRO AND ASSASSIN SERIES</t>
  </si>
  <si>
    <t>ssa</t>
  </si>
  <si>
    <t>excalibur</t>
  </si>
  <si>
    <t>Aufgrund der rauen Umgebungen, in denen Jäger aufblühen, ermöglicht Ihnen das Tomb Case den sicheren Transport Ihrer Armbrust in einem gepolsterten, kompakten und vielseitigen Koffer. - Komplett mit Schultergurten, um die Tasche in einen Rucksack umzuwandeln. - Verwenden Sie einen der beiden externen Griffe, um dies zu Ihrem perfekten Allzweckkoffer zu machen. - Dieser multifunktionale Allzweckkoffer bietet mehr als genug Stauraum für Ihre Armbrust und die gesamte notwendige Jagdausrüstung und ist somit Ihr idealer Tragekoffer für jede Jagd. - Das Hauptfach des Tomb ist mit zwei Klettverschlüssen gepolstert, um Ihren Bogen sicher an Ort und Stelle zu halten - Die drei Hauptinnentaschen sind von außen durch ultrastarke Reißverschlüsse mit robusten Zugschnüren zugänglich. Zusätzliche Aufbewahrungsfächer umfassen drei Innentaschen und zwei Innenhüllen. - Hergestellt aus strapazierfähigem 1000D Cordura-Nylon. - Außenmaße: 25,2" × 35,43" × 7,87" - Innentaschen (3): 7,6" × 1,6" × 8" - Außentasche: 7,8" × 3,5" × 22,8"</t>
  </si>
  <si>
    <t>UPOLD Adder Mag8_15</t>
  </si>
  <si>
    <t>8 Schuss Spezial Magazin 15" zu Adder</t>
  </si>
  <si>
    <t>UPBOLT</t>
  </si>
  <si>
    <t>Produktbeschreibung
Spezial Magazin mit 8 Bolzen für EK Archery Cobra RX Adder Armbrust, das bis zu 8 Bolzen der EK Archery 15" R-Serie (zweiflügelig) oder kompatible Bolzen aufnehmen kann. Eine einfache Lösung, um ein Upgrade in etwa 15 Minuten durchzuführen.
Paket Inhalt:
1. Magazin zur Aufnahme von 8 Schrauben der R-Serie + Picatinny-Winkeleinstellplatte (1 Grad)
2. Seitliche Ersatzschrauben zur Magazinfixierung
3. Vorderer Bolzenhalter zur Bolzenfixierung am vorderen Teil der Armbrust
4. Benötigte Schrauben für frontseitige Halterungsmontage
5. Sechsecke für den Installationsvorgang
* Optional - Klebertube kann enthalten sein (um den Picatinny-Schienenversteller zu fixieren)</t>
  </si>
  <si>
    <t>UPOLD Siege Mag8_15</t>
  </si>
  <si>
    <t>8 Schuss Spezial Magazin 15" zu Siege 300</t>
  </si>
  <si>
    <t>Produktbeschreibung
Spezial Magazin mit 8 Bolzen für Cobra Siege EK Archery Armbrust, das bis zu 8 Bolzen der EK Archery R-Serie (zweiflügelig) oder kompatible Bolzen aufnehmen kann. Eine einfache Lösung, um ein Upgrade in etwa 15 Minuten durchzuführen.
Paket Inhalt:
1. Magazin zur Aufnahme von 8 Schrauben der R-Serie + Picatinny-Winkeleinstellplatte (1 Grad)
2. Seitliche Ersatzschrauben zur Magazinfixierung
3. Vorderer Bolzenhalter zur Bolzenfixierung am vorderen Teil der Armbrust
4. Benötigte Schrauben für frontseitige Halterungsmontage
5. Sechsecke für den Installationsvorgang
* Optional - Klebertube kann enthalten sein (um den Picatinny-Schienenversteller zu fixieren)
Bitte beachten Sie:
Die in den Abbildungen gezeigten Bolzen, die Cobra Siege-Armbrust und die optischen Zielgeräte sind nicht Bestandteil des Pakets.</t>
  </si>
  <si>
    <t>UPOLD Siege 2bein</t>
  </si>
  <si>
    <t>Klappadappter Zweibein Siege 300</t>
  </si>
  <si>
    <t>MSNJ-CB07BD</t>
  </si>
  <si>
    <t>Cobra R9 bolt with broadhead 6stk</t>
  </si>
  <si>
    <t>MSNJ-CB07</t>
  </si>
  <si>
    <t>Cobra R9 bolt with target tip 20stk</t>
  </si>
  <si>
    <t>MSNJ-65MC</t>
  </si>
  <si>
    <t>Pistol bolt 6.5” with target Tip 20stk</t>
  </si>
  <si>
    <t>MSNJ-65MCBD</t>
  </si>
  <si>
    <t>Pistol bolt 6.5” with broadhead 6stk</t>
  </si>
  <si>
    <t>0000419</t>
  </si>
  <si>
    <t>AR-6 Stinger II – Wurfarme 55lbs</t>
  </si>
  <si>
    <t>AR-6 Stinger II – Wurfarm TACTICAL – 55 lbs
Für alle unsere Pfeiltypen geeignet – die schweren Ausführungen der Carbonpfeilen haben eine geringere Geschwindigkeit und eine kürzere Reichweite.
Lieferumfang:
2 Wurfarmendkappen aus Polymer
1 Sehne
1 Spannhilfe</t>
  </si>
  <si>
    <t>0000533</t>
  </si>
  <si>
    <t>AR-6 Stinger II Tuning Abzug</t>
  </si>
  <si>
    <t>Der Tuning Abzug verringert das Abzugsgewicht deutlich (mit dem 90 lbs. Wurfarm um fast 50%) und hilft dir, genauer zu treffen. Insbesondere wenn du sportlich schießen möchtest, bietet das große Vorteile. Der Abzug hat ein gleichmäßiges Abzugsgewicht (beim Standard Abzug steigt das Abzugsgewicht an bis der Schuss bricht) und ist konstanter und weicher im Abzugsverhalten. Ebenso hilft es dir Abzugsfehler schnell und mit weniger Trainingsaufwand in den Griff zu bekommen.
Lieferumfang:
1 schwarzer Abzug
1 roter Abzug
1 Zahnstange
1 Feder
1 Stift</t>
  </si>
  <si>
    <t>0000621</t>
  </si>
  <si>
    <t>AR-6 Stinger II Tactical &amp; Compact: Rändelschraube für Magazin</t>
  </si>
  <si>
    <t>Rändelschraube für die schnelle und werkzeugfreie (De-)Montage des Magazins deiner AR-6 Stinger II Tactical oder Compact.</t>
  </si>
  <si>
    <t>0000149</t>
  </si>
  <si>
    <t>AR-6 Stinger taktischer vertikaler Vordergriff</t>
  </si>
  <si>
    <t>Taktischer vertikaler Vordergriff für die Steambow AR-6 Stinger.
Farbe: Schwarz</t>
  </si>
  <si>
    <t>A017203</t>
  </si>
  <si>
    <t>RAVIN Carbon Armbrustbolzen .001 (6St.)</t>
  </si>
  <si>
    <t>Technische Daten:
Material: 100% reines Carbon
Länge: 20 Zoll
Geradheit: .001″
Gewicht: 400gn (incl. 100gn Spitze)
Befiederung: 2″ High Profile Offset Vanes
High-Impact Aluminium Nock Bushings
Ravin-Engineered Polymer Nocks
verwenden Sie nur Pfeile der Marke RAVIN mit Ravin-Clip-On-Nocken
NICHT ZUR VERWENDUNG IN DER RAVIN R500 SERIE
Lieferung ohne Spitzen!</t>
  </si>
  <si>
    <t>A055459</t>
  </si>
  <si>
    <t>RAVIN Carbon Leucht-Armbrustbolzen .003 (3St.)</t>
  </si>
  <si>
    <t>Während sich der Laser auf die Jagd konzentriert, strebt jeder Jäger nach Beständigkeit. Ravin .003 Premium Match-Grade beleuchtete Pfeile bieten genau das – sie kompensieren das zusätzliche Gewicht beleuchteter Nocken und wiegen das gleiche wie unbeleuchtete Ravin-Pfeile für identische Fluggenauigkeit. Die ultrahelle Nocke unterstützt Jäger und Schützen beim schnellen, mühelosen und konsistenten Auffinden von Pfeilen. Zur Verwendung in allen Ravin-Modellen, AUSSER Armbrüsten der R500-Serie. 
SPEZIFIKATIONEN:
3 PACK
400 Körner (mit Feldspitze für 100 Körner – nicht im Lieferumfang enthalten)
NUR FÜR RAVIN-ARMBRÜSTE VERWENDEN
100 % REINE CARBON-KONSTRUKTION
Geradheitstoleranz: 0,003 Zoll
HOCHWIRKUNGSFÄHIGE ALUMINIUM-GEWINDEEINSÄTZE
2" VERSETZTE FLÜGEL
HOCHSCHLAGFÄHIGE ALUMINIUM-NOCKENBÜRSTEN
LUMENOK™-TECHNOLOGIE
NUR IN RAVIN-MARKENPFEILEN MIT RAVIN-CLIP-ON-NOCKEN VERWENDEN
NICHT ZUR VERWENDUNG IN ARMBRÜSTEN DER SERIE R500 BESTIMMT</t>
  </si>
  <si>
    <t>10720706000</t>
  </si>
  <si>
    <t>10251106000</t>
  </si>
  <si>
    <t>RX CARBON BOLT 10stk (20)</t>
  </si>
  <si>
    <t xml:space="preserve">Cobra R9/Adder bolt with target tip 20stk </t>
  </si>
  <si>
    <t>EK Archery Carbon Bolzen für Cobra System Adder (10er Pack)</t>
  </si>
  <si>
    <t>MSNJ-CB15</t>
  </si>
  <si>
    <t xml:space="preserve">Cobra RX/R9 bolt with target tip 20stk </t>
  </si>
  <si>
    <t>Ningbo Musen</t>
  </si>
  <si>
    <t>VB10017E4-S</t>
  </si>
  <si>
    <t>VD-112A</t>
  </si>
  <si>
    <t>4x32C Combat Scope Fiber 24386</t>
  </si>
  <si>
    <t>4x32IR Combat Scope 9315</t>
  </si>
  <si>
    <t>A069455</t>
  </si>
  <si>
    <t>A046600</t>
  </si>
  <si>
    <t>ARMBRUSTBOLZEN CARBON 22" HYPERFLITE HEAT VANES ROT/WEISS 5/PACK</t>
  </si>
  <si>
    <t>Marke	Barnett
Typ	Hyperflite-Nocke
Länge (Zoll)	22
Verpackung	5/Packung
Hersteller Artikelnr.	BAR20043
GTIN	042609200436
Tarif-Nr.	95069990</t>
  </si>
  <si>
    <t>centerpoint</t>
  </si>
  <si>
    <t>CENTERPOINT 400 GRAIN 20" BOLZEN 6/PACK</t>
  </si>
  <si>
    <t>Diese erstklassigen Carbonpfeile sind sorgfältig ausbalanciert und bieten so Kraft und Präzision.
Die CenterPoint-Carbonpfeile sind für Armbrüste konzipiert, die 20-Zoll-Armbrustpfeile verwenden.
Hergestellt mit dem idealen Gewicht für Ihre CenterPoint-Armbrust, wiegt jeder Pfeil 400 Grain, wenn er mit 100 Grain-Feldspitzen (separat erhältlich) ausgestattet ist.
.003-Zoll Geradheitstoleranz
Das CenterPoint Carbon Arrow 6er-Pack wird mit vorinstallierten Halbmondnocken geliefert, die so geformt sind, dass die Sehne beim Abfeuern nicht über oder unter den Pfeil rutscht. Dies bedeutet einen konstanten Kontakt zwischen Sehne und Nocke.
Er ist lang genug, um die Genauigkeit zu verbessern, aber kurz genug, um zu viel Luftwiderstand zu vermeiden. Jeder 20-Zoll-Armbrustpfeil ist außerdem mit deltaförmigen Blazer-Federbeinen befiedert, die dem Pfeil Stabilität und Drehung verleihen.</t>
  </si>
  <si>
    <t>D-124A10</t>
  </si>
  <si>
    <t>Ek Archery Revo 7 original 6.5″ Carbon Bolzen 10er Pack</t>
  </si>
  <si>
    <t>VD-105B</t>
  </si>
  <si>
    <t xml:space="preserve">CARBON ARROW 8.8mm 16" </t>
  </si>
  <si>
    <t>B10068</t>
  </si>
  <si>
    <t>Revo7 Polyester Armbrusttasche</t>
  </si>
  <si>
    <t>Original Armbrust Bolzen für die Ek Archery REVO 7
Dieser zeichnet sich durch einen schlankeren Schaft aus, welcher die Aerodynamik erheblich verbessert.
Auch Venes, Noc und Tip wirde für die REVO 7 optimiert, was in einer höheren Präzission beim schiessen resultiert.
Passend für folgende Armbrüste:
- Ek Archery REVO 7 
- Dies Bolzen können ausschliessich auf der Ek Archery REVO 7 verwendet werden!
Technische Daten:
- Material, Carbon, Polymer
- Grösse, 6.5" 
- Druchmesser: 5.5mm
Lieferumfang:
- 10x 6.5" Ek Archery Revo 7 Carbon Bolzen</t>
  </si>
  <si>
    <t>Revo7 Magazin</t>
  </si>
  <si>
    <t>B10070</t>
  </si>
  <si>
    <t>Original Ersatzmagazin für die Ek Archery REVO 7.
Das Magazin wird bequem mit den originalen Ek Archery REVO 7 Bolzen vorbestückt, und wird bei Bedarf blitzschnell in die Ek Archery REVO 7 geingesetzt!
Passend für folgende Armbrüste:
Ek Archery REVO 7
Lieferumfang:
1x Original Ersatzmagazin REVO 7</t>
  </si>
  <si>
    <t>A056896</t>
  </si>
  <si>
    <t>Schussnetz 3m x 3m</t>
  </si>
  <si>
    <t>B10041A</t>
  </si>
  <si>
    <t>EK Archery CCD Spannkurbel für Accellerator 370, Blade und Jag 2</t>
  </si>
  <si>
    <t>Spannkurbel passend für
Blade
Accellerator 370
Jag 2</t>
  </si>
  <si>
    <t>B10046</t>
  </si>
  <si>
    <t>EK Archery CCD Spannkurbel für Accellerator 390/410 und HEX-400</t>
  </si>
  <si>
    <t>Spannkurbel passend für
Ballistics Modelle
Accellerator 390 und 410
HEX-400</t>
  </si>
  <si>
    <t>B10053</t>
  </si>
  <si>
    <t>EK Archery CCD Spannkurbel für Guilltone X / M</t>
  </si>
  <si>
    <t>Spannkurbel passend für
Guillotine X / M</t>
  </si>
  <si>
    <t>CR-1221B-120</t>
  </si>
  <si>
    <t>Original 120lbs Ersatzwurfarm für die Armbrust REVO7</t>
  </si>
  <si>
    <t>120lbs Ersatzwurfarm für die Armbrust REVO7, original von EK-Archery
Lieferumfang:
1x 120lbs Wurfarm komplett montiert mit Sehne und Endkappen</t>
  </si>
  <si>
    <t>D-124B10</t>
  </si>
  <si>
    <t>Ek Archery Revo 7 original 6.5″ Carbon Bolzen heavy 10er Pack</t>
  </si>
  <si>
    <t>Original Armbrust Bolzen für die Ek Archery REVO 7
Dieser zeichnet sich durch einen schlankeren Schaft aus, welcher die Aerodynamik erheblich verbessert.
Auch Venes, Noc und Tip wirde für die REVO 7 optimiert, was in einer höheren Präzission beim schiessen resultiert.
Passend für folgende Armbrüste:
- Ek Archery REVO 7 
Dies Bolzen können ausschliessich auf der Ek Archery REVO 7 verwendet werden!                                                                                                                                                                                                                                                                                                                                                                                          -- Heavy Metallspitze &amp; Half moon nocke
Geeignet für die 120LBS Revo 7 Wurfarme
Technische Daten:
- Material, Carbon, Polymer
- Grösse, 6.5" 
- Druchmesser: 5.5mm
Lieferumfang:
- 10x 6.5" Ek Archery Revo 7 Carbon Bolzen heavy</t>
  </si>
  <si>
    <t>A019169</t>
  </si>
  <si>
    <t>ARROW PULLERS GRASPER ORANGE</t>
  </si>
  <si>
    <t>Dimensions 8,5cm L x 4cm W - Material: Rubber - Incl.: Elastic cord - Works for smaller and larger dia. arrows - Shaped for a good grip</t>
  </si>
  <si>
    <t>A017186</t>
  </si>
  <si>
    <t>EXCALIBUR CROSSBOW BOLTS CARBON QUILL 16.5" FOR MICRO 6/PACK</t>
  </si>
  <si>
    <t xml:space="preserve">Brand	Excalibur
Typ	Flat nock
Länge (Zoll)	16,5
Packaging	6/Pk
Vendor Item No.	PBK-22QV16-6
</t>
  </si>
  <si>
    <t>Handschuh S/M/L/XL</t>
  </si>
  <si>
    <t xml:space="preserve">   </t>
  </si>
  <si>
    <t>Phönix 4.2mm SP1100 rot</t>
  </si>
  <si>
    <t>Phönix 4.2mm SP800 blau</t>
  </si>
  <si>
    <t>D-124C10</t>
  </si>
  <si>
    <t>Ek Archery Revo 7 original 6.5″ Carbon Bodkin Bolzen 10er Pack</t>
  </si>
  <si>
    <t>10888706000</t>
  </si>
  <si>
    <t xml:space="preserve">4x32C Combo Combat Scope Fiber </t>
  </si>
  <si>
    <t>Das 4x32 Combo Combat Scope ist aus einer Aluminiumlegierung CNC-gefräst und hat eine schwarze, nicht reflektierende Oberfläche. Es hat eine feste Vergrößerung von 4x und wird mit einer einzigen CR2032-Batterie und einem Lichtleiter betrieben. Das Visier wiegt 490 g und ist mit dem Standard Picatinny-Schienensystem kompatibel.
Es verfügt über ein rot und grün beleuchtetes BDC-Absehen und ist in Höhe und Neigung verstellbar. Die fünf Helligkeitsstufen können über einen seitlichen Drehknopf eingestellt werden. Das solide und robuste Produkt arbeitet zuverlässig und ist unempfindlich gegen Stöße und Beschädigungen. Die optimale Vergrößerung und das klare Absehen ermöglichen eine präzise Schussplatzierung auf mittlere Entfernungen. Das zusätzliche, auf der Oberseite montierte Mikro-Rotpunktvisier garantiert eine schnelle und präzise Zielerfassung im Nahbereich.
Eigenschaften wie eine entspiegelte, kratzfeste Oberfläche, mehrschichtige Linsenbeschichtung, Wasser- und Stoßfestigkeit sowie Antibeschlagbeschichtung bestätigen die Zuverlässigkeit, Langlebigkeit und Robustheit. Aufgrund seiner Vielseitigkeit ist das Combo Combat Scope eines der beliebtesten und meistverwendeten Optiken im Feld.</t>
  </si>
  <si>
    <t>Gewicht kg</t>
  </si>
  <si>
    <t>usfh01</t>
  </si>
  <si>
    <t>usfh02</t>
  </si>
  <si>
    <t>usfh03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</si>
</sst>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CHF&quot;\ * #,##0.00_ ;_ &quot;CHF&quot;\ * \-#,##0.00_ ;_ &quot;CHF&quot;\ * &quot;-&quot;??_ ;_ @_ "/>
    <numFmt numFmtId="164" formatCode="_ &quot;Fr.&quot;\ * #,##0.00_ ;_ &quot;Fr.&quot;\ * \-#,##0.00_ ;_ &quot;Fr.&quot;\ * &quot;-&quot;??_ ;_ @_ "/>
    <numFmt numFmtId="165" formatCode="_ &quot;Fr.&quot;\ * #\'##0.00_ ;_ &quot;Fr.&quot;\ * \-#\'##0.00_ ;_ &quot;Fr.&quot;\ * &quot;-&quot;??_ ;_ @_ "/>
    <numFmt numFmtId="166" formatCode="_-* #,##0.00\ &quot;€&quot;_-;\-* #,##0.00\ &quot;€&quot;_-;_-* &quot;-&quot;??\ &quot;€&quot;_-;_-@_-"/>
  </numFmts>
  <fonts count="6" x14ac:knownFonts="1">
    <font>
      <sz val="11"/>
      <color theme="1"/>
      <name val="Calibri"/>
      <family val="2"/>
      <scheme val="minor"/>
    </font>
    <font>
      <sz val="11"/>
      <color theme="1"/>
      <name val="Calibri"/>
      <family val="2"/>
      <scheme val="minor"/>
    </font>
    <font>
      <sz val="8"/>
      <name val="Calibri"/>
      <family val="2"/>
      <scheme val="minor"/>
    </font>
    <font>
      <sz val="10"/>
      <name val="Calibri"/>
      <family val="2"/>
      <scheme val="minor"/>
    </font>
    <font>
      <sz val="11"/>
      <name val="Calibri"/>
      <family val="2"/>
      <scheme val="minor"/>
    </font>
    <font>
      <sz val="11"/>
      <color indexed="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9">
    <xf numFmtId="0" fontId="0" fillId="0" borderId="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 fillId="0" borderId="0"/>
    <xf numFmtId="166" fontId="1" fillId="0" borderId="0" applyFont="0" applyFill="0" applyBorder="0" applyAlignment="0" applyProtection="0"/>
    <xf numFmtId="164" fontId="1" fillId="0" borderId="0" applyFont="0" applyFill="0" applyBorder="0" applyAlignment="0" applyProtection="0"/>
  </cellStyleXfs>
  <cellXfs count="17">
    <xf numFmtId="0" fontId="0" fillId="0" borderId="0" xfId="0"/>
    <xf numFmtId="0" fontId="3" fillId="0" borderId="1" xfId="0" applyFont="1" applyBorder="1"/>
    <xf numFmtId="49" fontId="3" fillId="0" borderId="1" xfId="0" applyNumberFormat="1" applyFont="1" applyBorder="1"/>
    <xf numFmtId="0" fontId="3" fillId="0" borderId="1" xfId="1" applyNumberFormat="1" applyFont="1" applyFill="1" applyBorder="1"/>
    <xf numFmtId="0" fontId="3" fillId="0" borderId="1" xfId="0" applyFont="1" applyBorder="1" applyAlignment="1">
      <alignment horizontal="center"/>
    </xf>
    <xf numFmtId="0" fontId="3" fillId="0" borderId="0" xfId="0" applyFont="1"/>
    <xf numFmtId="1" fontId="3" fillId="0" borderId="1" xfId="0" applyNumberFormat="1" applyFont="1" applyBorder="1"/>
    <xf numFmtId="0" fontId="3" fillId="0" borderId="1" xfId="0" applyFont="1" applyBorder="1" applyAlignment="1">
      <alignment wrapText="1"/>
    </xf>
    <xf numFmtId="164" fontId="3" fillId="0" borderId="1" xfId="0" applyNumberFormat="1" applyFont="1" applyBorder="1"/>
    <xf numFmtId="0" fontId="3" fillId="0" borderId="1" xfId="2" applyNumberFormat="1" applyFont="1" applyFill="1" applyBorder="1"/>
    <xf numFmtId="0" fontId="4" fillId="0" borderId="1" xfId="0" applyFont="1" applyBorder="1"/>
    <xf numFmtId="0" fontId="4" fillId="0" borderId="1" xfId="0" applyFont="1" applyBorder="1" applyAlignment="1">
      <alignment wrapText="1"/>
    </xf>
    <xf numFmtId="0" fontId="3" fillId="0" borderId="0" xfId="0" applyFont="1" applyAlignment="1">
      <alignment wrapText="1"/>
    </xf>
    <xf numFmtId="49" fontId="3" fillId="0" borderId="0" xfId="0" applyNumberFormat="1" applyFont="1"/>
    <xf numFmtId="0" fontId="3" fillId="0" borderId="0" xfId="1" applyNumberFormat="1" applyFont="1" applyFill="1"/>
    <xf numFmtId="0" fontId="3" fillId="0" borderId="0" xfId="0" applyFont="1" applyAlignment="1">
      <alignment horizontal="center"/>
    </xf>
    <xf numFmtId="164" fontId="3" fillId="0" borderId="2" xfId="0" applyNumberFormat="1" applyFont="1" applyBorder="1" applyAlignment="1">
      <alignment horizontal="center"/>
    </xf>
  </cellXfs>
  <cellStyles count="9">
    <cellStyle name="Standard" xfId="0" builtinId="0"/>
    <cellStyle name="Standard 2" xfId="6" xr:uid="{C6348820-8E85-46B0-B5EA-02FBCCC211A6}"/>
    <cellStyle name="Währung" xfId="1" builtinId="4"/>
    <cellStyle name="Währung 2" xfId="2" xr:uid="{2C27D4A0-A690-47D6-B132-4162D3A33498}"/>
    <cellStyle name="Währung 2 2 2" xfId="5" xr:uid="{221F709C-A724-4FAC-8B45-DAED25DA39F4}"/>
    <cellStyle name="Währung 3" xfId="7" xr:uid="{C0C77DBA-CD89-4C03-8F36-3D35C141A5BC}"/>
    <cellStyle name="Währung 4" xfId="3" xr:uid="{5EB333DD-41A7-4E88-B4BE-60A0FCF2B9CF}"/>
    <cellStyle name="Währung 5" xfId="4" xr:uid="{8D67345A-E7A7-41B4-B6D6-95B6527A21B7}"/>
    <cellStyle name="Währung 6" xfId="8" xr:uid="{0D1948EC-F3CB-43D7-9391-D258E9969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5F142-7E2E-4291-BF75-DF4FD8F8F8B3}">
  <sheetPr codeName="Tabelle5"/>
  <dimension ref="A1:AC122"/>
  <sheetViews>
    <sheetView tabSelected="1" topLeftCell="A81" workbookViewId="0">
      <pane xSplit="1" topLeftCell="T1" activePane="topRight" state="frozen"/>
      <selection pane="topRight" activeCell="A2" sqref="A2:A111"/>
    </sheetView>
  </sheetViews>
  <sheetFormatPr baseColWidth="10" defaultRowHeight="12.75" x14ac:dyDescent="0.2"/>
  <cols>
    <col min="1" max="1" width="4.7109375" style="5" bestFit="1" customWidth="1"/>
    <col min="2" max="5" width="4.42578125" style="5" customWidth="1"/>
    <col min="6" max="6" width="10.5703125" style="5" bestFit="1" customWidth="1"/>
    <col min="7" max="7" width="13.28515625" style="13" bestFit="1" customWidth="1"/>
    <col min="8" max="8" width="8" style="5" bestFit="1" customWidth="1"/>
    <col min="9" max="9" width="67.5703125" style="5" bestFit="1" customWidth="1"/>
    <col min="10" max="10" width="28.140625" style="5" bestFit="1" customWidth="1"/>
    <col min="11" max="11" width="11.85546875" style="5" bestFit="1" customWidth="1"/>
    <col min="12" max="12" width="12.85546875" style="14" bestFit="1" customWidth="1"/>
    <col min="13" max="13" width="10.140625" style="5" bestFit="1" customWidth="1"/>
    <col min="14" max="14" width="10.85546875" style="14" bestFit="1" customWidth="1"/>
    <col min="15" max="15" width="15.140625" style="5" bestFit="1" customWidth="1"/>
    <col min="16" max="17" width="13.85546875" style="5" bestFit="1" customWidth="1"/>
    <col min="18" max="18" width="14.28515625" style="5" bestFit="1" customWidth="1"/>
    <col min="19" max="19" width="252" style="5" bestFit="1" customWidth="1"/>
    <col min="20" max="20" width="67.28515625" style="5" bestFit="1" customWidth="1"/>
    <col min="21" max="21" width="26.5703125" style="5" bestFit="1" customWidth="1"/>
    <col min="22" max="22" width="67.28515625" style="5" bestFit="1" customWidth="1"/>
    <col min="23" max="23" width="11.7109375" style="5" bestFit="1" customWidth="1"/>
    <col min="24" max="24" width="14.42578125" style="5" bestFit="1" customWidth="1"/>
    <col min="25" max="25" width="52.28515625" style="5" bestFit="1" customWidth="1"/>
    <col min="26" max="26" width="9.28515625" style="5" bestFit="1" customWidth="1"/>
    <col min="27" max="27" width="12.42578125" style="5" bestFit="1" customWidth="1"/>
    <col min="28" max="28" width="11.42578125" style="5" bestFit="1"/>
    <col min="29" max="256" width="11.42578125" style="5"/>
    <col min="257" max="257" width="4.7109375" style="5" bestFit="1" customWidth="1"/>
    <col min="258" max="261" width="4.42578125" style="5" customWidth="1"/>
    <col min="262" max="262" width="10.5703125" style="5" bestFit="1" customWidth="1"/>
    <col min="263" max="263" width="13.28515625" style="5" bestFit="1" customWidth="1"/>
    <col min="264" max="264" width="8" style="5" bestFit="1" customWidth="1"/>
    <col min="265" max="265" width="67.5703125" style="5" bestFit="1" customWidth="1"/>
    <col min="266" max="266" width="28.140625" style="5" bestFit="1" customWidth="1"/>
    <col min="267" max="267" width="11.85546875" style="5" bestFit="1" customWidth="1"/>
    <col min="268" max="268" width="12.85546875" style="5" bestFit="1" customWidth="1"/>
    <col min="269" max="269" width="10.140625" style="5" bestFit="1" customWidth="1"/>
    <col min="270" max="270" width="10.85546875" style="5" bestFit="1" customWidth="1"/>
    <col min="271" max="271" width="15.140625" style="5" bestFit="1" customWidth="1"/>
    <col min="272" max="272" width="9.5703125" style="5" bestFit="1" customWidth="1"/>
    <col min="273" max="273" width="11.42578125" style="5" bestFit="1"/>
    <col min="274" max="274" width="14.28515625" style="5" bestFit="1" customWidth="1"/>
    <col min="275" max="275" width="252" style="5" bestFit="1" customWidth="1"/>
    <col min="276" max="276" width="67.28515625" style="5" bestFit="1" customWidth="1"/>
    <col min="277" max="277" width="26.5703125" style="5" bestFit="1" customWidth="1"/>
    <col min="278" max="278" width="67.28515625" style="5" bestFit="1" customWidth="1"/>
    <col min="279" max="279" width="11.7109375" style="5" bestFit="1" customWidth="1"/>
    <col min="280" max="280" width="14.42578125" style="5" bestFit="1" customWidth="1"/>
    <col min="281" max="281" width="33.28515625" style="5" bestFit="1" customWidth="1"/>
    <col min="282" max="282" width="9.28515625" style="5" bestFit="1" customWidth="1"/>
    <col min="283" max="283" width="12.42578125" style="5" bestFit="1" customWidth="1"/>
    <col min="284" max="284" width="11.42578125" style="5" bestFit="1"/>
    <col min="285" max="512" width="11.42578125" style="5"/>
    <col min="513" max="513" width="4.7109375" style="5" bestFit="1" customWidth="1"/>
    <col min="514" max="517" width="4.42578125" style="5" customWidth="1"/>
    <col min="518" max="518" width="10.5703125" style="5" bestFit="1" customWidth="1"/>
    <col min="519" max="519" width="13.28515625" style="5" bestFit="1" customWidth="1"/>
    <col min="520" max="520" width="8" style="5" bestFit="1" customWidth="1"/>
    <col min="521" max="521" width="67.5703125" style="5" bestFit="1" customWidth="1"/>
    <col min="522" max="522" width="28.140625" style="5" bestFit="1" customWidth="1"/>
    <col min="523" max="523" width="11.85546875" style="5" bestFit="1" customWidth="1"/>
    <col min="524" max="524" width="12.85546875" style="5" bestFit="1" customWidth="1"/>
    <col min="525" max="525" width="10.140625" style="5" bestFit="1" customWidth="1"/>
    <col min="526" max="526" width="10.85546875" style="5" bestFit="1" customWidth="1"/>
    <col min="527" max="527" width="15.140625" style="5" bestFit="1" customWidth="1"/>
    <col min="528" max="528" width="9.5703125" style="5" bestFit="1" customWidth="1"/>
    <col min="529" max="529" width="11.42578125" style="5" bestFit="1"/>
    <col min="530" max="530" width="14.28515625" style="5" bestFit="1" customWidth="1"/>
    <col min="531" max="531" width="252" style="5" bestFit="1" customWidth="1"/>
    <col min="532" max="532" width="67.28515625" style="5" bestFit="1" customWidth="1"/>
    <col min="533" max="533" width="26.5703125" style="5" bestFit="1" customWidth="1"/>
    <col min="534" max="534" width="67.28515625" style="5" bestFit="1" customWidth="1"/>
    <col min="535" max="535" width="11.7109375" style="5" bestFit="1" customWidth="1"/>
    <col min="536" max="536" width="14.42578125" style="5" bestFit="1" customWidth="1"/>
    <col min="537" max="537" width="33.28515625" style="5" bestFit="1" customWidth="1"/>
    <col min="538" max="538" width="9.28515625" style="5" bestFit="1" customWidth="1"/>
    <col min="539" max="539" width="12.42578125" style="5" bestFit="1" customWidth="1"/>
    <col min="540" max="540" width="11.42578125" style="5" bestFit="1"/>
    <col min="541" max="768" width="11.42578125" style="5"/>
    <col min="769" max="769" width="4.7109375" style="5" bestFit="1" customWidth="1"/>
    <col min="770" max="773" width="4.42578125" style="5" customWidth="1"/>
    <col min="774" max="774" width="10.5703125" style="5" bestFit="1" customWidth="1"/>
    <col min="775" max="775" width="13.28515625" style="5" bestFit="1" customWidth="1"/>
    <col min="776" max="776" width="8" style="5" bestFit="1" customWidth="1"/>
    <col min="777" max="777" width="67.5703125" style="5" bestFit="1" customWidth="1"/>
    <col min="778" max="778" width="28.140625" style="5" bestFit="1" customWidth="1"/>
    <col min="779" max="779" width="11.85546875" style="5" bestFit="1" customWidth="1"/>
    <col min="780" max="780" width="12.85546875" style="5" bestFit="1" customWidth="1"/>
    <col min="781" max="781" width="10.140625" style="5" bestFit="1" customWidth="1"/>
    <col min="782" max="782" width="10.85546875" style="5" bestFit="1" customWidth="1"/>
    <col min="783" max="783" width="15.140625" style="5" bestFit="1" customWidth="1"/>
    <col min="784" max="784" width="9.5703125" style="5" bestFit="1" customWidth="1"/>
    <col min="785" max="785" width="11.42578125" style="5" bestFit="1"/>
    <col min="786" max="786" width="14.28515625" style="5" bestFit="1" customWidth="1"/>
    <col min="787" max="787" width="252" style="5" bestFit="1" customWidth="1"/>
    <col min="788" max="788" width="67.28515625" style="5" bestFit="1" customWidth="1"/>
    <col min="789" max="789" width="26.5703125" style="5" bestFit="1" customWidth="1"/>
    <col min="790" max="790" width="67.28515625" style="5" bestFit="1" customWidth="1"/>
    <col min="791" max="791" width="11.7109375" style="5" bestFit="1" customWidth="1"/>
    <col min="792" max="792" width="14.42578125" style="5" bestFit="1" customWidth="1"/>
    <col min="793" max="793" width="33.28515625" style="5" bestFit="1" customWidth="1"/>
    <col min="794" max="794" width="9.28515625" style="5" bestFit="1" customWidth="1"/>
    <col min="795" max="795" width="12.42578125" style="5" bestFit="1" customWidth="1"/>
    <col min="796" max="796" width="11.42578125" style="5" bestFit="1"/>
    <col min="797" max="1024" width="11.42578125" style="5"/>
    <col min="1025" max="1025" width="4.7109375" style="5" bestFit="1" customWidth="1"/>
    <col min="1026" max="1029" width="4.42578125" style="5" customWidth="1"/>
    <col min="1030" max="1030" width="10.5703125" style="5" bestFit="1" customWidth="1"/>
    <col min="1031" max="1031" width="13.28515625" style="5" bestFit="1" customWidth="1"/>
    <col min="1032" max="1032" width="8" style="5" bestFit="1" customWidth="1"/>
    <col min="1033" max="1033" width="67.5703125" style="5" bestFit="1" customWidth="1"/>
    <col min="1034" max="1034" width="28.140625" style="5" bestFit="1" customWidth="1"/>
    <col min="1035" max="1035" width="11.85546875" style="5" bestFit="1" customWidth="1"/>
    <col min="1036" max="1036" width="12.85546875" style="5" bestFit="1" customWidth="1"/>
    <col min="1037" max="1037" width="10.140625" style="5" bestFit="1" customWidth="1"/>
    <col min="1038" max="1038" width="10.85546875" style="5" bestFit="1" customWidth="1"/>
    <col min="1039" max="1039" width="15.140625" style="5" bestFit="1" customWidth="1"/>
    <col min="1040" max="1040" width="9.5703125" style="5" bestFit="1" customWidth="1"/>
    <col min="1041" max="1041" width="11.42578125" style="5" bestFit="1"/>
    <col min="1042" max="1042" width="14.28515625" style="5" bestFit="1" customWidth="1"/>
    <col min="1043" max="1043" width="252" style="5" bestFit="1" customWidth="1"/>
    <col min="1044" max="1044" width="67.28515625" style="5" bestFit="1" customWidth="1"/>
    <col min="1045" max="1045" width="26.5703125" style="5" bestFit="1" customWidth="1"/>
    <col min="1046" max="1046" width="67.28515625" style="5" bestFit="1" customWidth="1"/>
    <col min="1047" max="1047" width="11.7109375" style="5" bestFit="1" customWidth="1"/>
    <col min="1048" max="1048" width="14.42578125" style="5" bestFit="1" customWidth="1"/>
    <col min="1049" max="1049" width="33.28515625" style="5" bestFit="1" customWidth="1"/>
    <col min="1050" max="1050" width="9.28515625" style="5" bestFit="1" customWidth="1"/>
    <col min="1051" max="1051" width="12.42578125" style="5" bestFit="1" customWidth="1"/>
    <col min="1052" max="1052" width="11.42578125" style="5" bestFit="1"/>
    <col min="1053" max="1280" width="11.42578125" style="5"/>
    <col min="1281" max="1281" width="4.7109375" style="5" bestFit="1" customWidth="1"/>
    <col min="1282" max="1285" width="4.42578125" style="5" customWidth="1"/>
    <col min="1286" max="1286" width="10.5703125" style="5" bestFit="1" customWidth="1"/>
    <col min="1287" max="1287" width="13.28515625" style="5" bestFit="1" customWidth="1"/>
    <col min="1288" max="1288" width="8" style="5" bestFit="1" customWidth="1"/>
    <col min="1289" max="1289" width="67.5703125" style="5" bestFit="1" customWidth="1"/>
    <col min="1290" max="1290" width="28.140625" style="5" bestFit="1" customWidth="1"/>
    <col min="1291" max="1291" width="11.85546875" style="5" bestFit="1" customWidth="1"/>
    <col min="1292" max="1292" width="12.85546875" style="5" bestFit="1" customWidth="1"/>
    <col min="1293" max="1293" width="10.140625" style="5" bestFit="1" customWidth="1"/>
    <col min="1294" max="1294" width="10.85546875" style="5" bestFit="1" customWidth="1"/>
    <col min="1295" max="1295" width="15.140625" style="5" bestFit="1" customWidth="1"/>
    <col min="1296" max="1296" width="9.5703125" style="5" bestFit="1" customWidth="1"/>
    <col min="1297" max="1297" width="11.42578125" style="5" bestFit="1"/>
    <col min="1298" max="1298" width="14.28515625" style="5" bestFit="1" customWidth="1"/>
    <col min="1299" max="1299" width="252" style="5" bestFit="1" customWidth="1"/>
    <col min="1300" max="1300" width="67.28515625" style="5" bestFit="1" customWidth="1"/>
    <col min="1301" max="1301" width="26.5703125" style="5" bestFit="1" customWidth="1"/>
    <col min="1302" max="1302" width="67.28515625" style="5" bestFit="1" customWidth="1"/>
    <col min="1303" max="1303" width="11.7109375" style="5" bestFit="1" customWidth="1"/>
    <col min="1304" max="1304" width="14.42578125" style="5" bestFit="1" customWidth="1"/>
    <col min="1305" max="1305" width="33.28515625" style="5" bestFit="1" customWidth="1"/>
    <col min="1306" max="1306" width="9.28515625" style="5" bestFit="1" customWidth="1"/>
    <col min="1307" max="1307" width="12.42578125" style="5" bestFit="1" customWidth="1"/>
    <col min="1308" max="1308" width="11.42578125" style="5" bestFit="1"/>
    <col min="1309" max="1536" width="11.42578125" style="5"/>
    <col min="1537" max="1537" width="4.7109375" style="5" bestFit="1" customWidth="1"/>
    <col min="1538" max="1541" width="4.42578125" style="5" customWidth="1"/>
    <col min="1542" max="1542" width="10.5703125" style="5" bestFit="1" customWidth="1"/>
    <col min="1543" max="1543" width="13.28515625" style="5" bestFit="1" customWidth="1"/>
    <col min="1544" max="1544" width="8" style="5" bestFit="1" customWidth="1"/>
    <col min="1545" max="1545" width="67.5703125" style="5" bestFit="1" customWidth="1"/>
    <col min="1546" max="1546" width="28.140625" style="5" bestFit="1" customWidth="1"/>
    <col min="1547" max="1547" width="11.85546875" style="5" bestFit="1" customWidth="1"/>
    <col min="1548" max="1548" width="12.85546875" style="5" bestFit="1" customWidth="1"/>
    <col min="1549" max="1549" width="10.140625" style="5" bestFit="1" customWidth="1"/>
    <col min="1550" max="1550" width="10.85546875" style="5" bestFit="1" customWidth="1"/>
    <col min="1551" max="1551" width="15.140625" style="5" bestFit="1" customWidth="1"/>
    <col min="1552" max="1552" width="9.5703125" style="5" bestFit="1" customWidth="1"/>
    <col min="1553" max="1553" width="11.42578125" style="5" bestFit="1"/>
    <col min="1554" max="1554" width="14.28515625" style="5" bestFit="1" customWidth="1"/>
    <col min="1555" max="1555" width="252" style="5" bestFit="1" customWidth="1"/>
    <col min="1556" max="1556" width="67.28515625" style="5" bestFit="1" customWidth="1"/>
    <col min="1557" max="1557" width="26.5703125" style="5" bestFit="1" customWidth="1"/>
    <col min="1558" max="1558" width="67.28515625" style="5" bestFit="1" customWidth="1"/>
    <col min="1559" max="1559" width="11.7109375" style="5" bestFit="1" customWidth="1"/>
    <col min="1560" max="1560" width="14.42578125" style="5" bestFit="1" customWidth="1"/>
    <col min="1561" max="1561" width="33.28515625" style="5" bestFit="1" customWidth="1"/>
    <col min="1562" max="1562" width="9.28515625" style="5" bestFit="1" customWidth="1"/>
    <col min="1563" max="1563" width="12.42578125" style="5" bestFit="1" customWidth="1"/>
    <col min="1564" max="1564" width="11.42578125" style="5" bestFit="1"/>
    <col min="1565" max="1792" width="11.42578125" style="5"/>
    <col min="1793" max="1793" width="4.7109375" style="5" bestFit="1" customWidth="1"/>
    <col min="1794" max="1797" width="4.42578125" style="5" customWidth="1"/>
    <col min="1798" max="1798" width="10.5703125" style="5" bestFit="1" customWidth="1"/>
    <col min="1799" max="1799" width="13.28515625" style="5" bestFit="1" customWidth="1"/>
    <col min="1800" max="1800" width="8" style="5" bestFit="1" customWidth="1"/>
    <col min="1801" max="1801" width="67.5703125" style="5" bestFit="1" customWidth="1"/>
    <col min="1802" max="1802" width="28.140625" style="5" bestFit="1" customWidth="1"/>
    <col min="1803" max="1803" width="11.85546875" style="5" bestFit="1" customWidth="1"/>
    <col min="1804" max="1804" width="12.85546875" style="5" bestFit="1" customWidth="1"/>
    <col min="1805" max="1805" width="10.140625" style="5" bestFit="1" customWidth="1"/>
    <col min="1806" max="1806" width="10.85546875" style="5" bestFit="1" customWidth="1"/>
    <col min="1807" max="1807" width="15.140625" style="5" bestFit="1" customWidth="1"/>
    <col min="1808" max="1808" width="9.5703125" style="5" bestFit="1" customWidth="1"/>
    <col min="1809" max="1809" width="11.42578125" style="5" bestFit="1"/>
    <col min="1810" max="1810" width="14.28515625" style="5" bestFit="1" customWidth="1"/>
    <col min="1811" max="1811" width="252" style="5" bestFit="1" customWidth="1"/>
    <col min="1812" max="1812" width="67.28515625" style="5" bestFit="1" customWidth="1"/>
    <col min="1813" max="1813" width="26.5703125" style="5" bestFit="1" customWidth="1"/>
    <col min="1814" max="1814" width="67.28515625" style="5" bestFit="1" customWidth="1"/>
    <col min="1815" max="1815" width="11.7109375" style="5" bestFit="1" customWidth="1"/>
    <col min="1816" max="1816" width="14.42578125" style="5" bestFit="1" customWidth="1"/>
    <col min="1817" max="1817" width="33.28515625" style="5" bestFit="1" customWidth="1"/>
    <col min="1818" max="1818" width="9.28515625" style="5" bestFit="1" customWidth="1"/>
    <col min="1819" max="1819" width="12.42578125" style="5" bestFit="1" customWidth="1"/>
    <col min="1820" max="1820" width="11.42578125" style="5" bestFit="1"/>
    <col min="1821" max="2048" width="11.42578125" style="5"/>
    <col min="2049" max="2049" width="4.7109375" style="5" bestFit="1" customWidth="1"/>
    <col min="2050" max="2053" width="4.42578125" style="5" customWidth="1"/>
    <col min="2054" max="2054" width="10.5703125" style="5" bestFit="1" customWidth="1"/>
    <col min="2055" max="2055" width="13.28515625" style="5" bestFit="1" customWidth="1"/>
    <col min="2056" max="2056" width="8" style="5" bestFit="1" customWidth="1"/>
    <col min="2057" max="2057" width="67.5703125" style="5" bestFit="1" customWidth="1"/>
    <col min="2058" max="2058" width="28.140625" style="5" bestFit="1" customWidth="1"/>
    <col min="2059" max="2059" width="11.85546875" style="5" bestFit="1" customWidth="1"/>
    <col min="2060" max="2060" width="12.85546875" style="5" bestFit="1" customWidth="1"/>
    <col min="2061" max="2061" width="10.140625" style="5" bestFit="1" customWidth="1"/>
    <col min="2062" max="2062" width="10.85546875" style="5" bestFit="1" customWidth="1"/>
    <col min="2063" max="2063" width="15.140625" style="5" bestFit="1" customWidth="1"/>
    <col min="2064" max="2064" width="9.5703125" style="5" bestFit="1" customWidth="1"/>
    <col min="2065" max="2065" width="11.42578125" style="5" bestFit="1"/>
    <col min="2066" max="2066" width="14.28515625" style="5" bestFit="1" customWidth="1"/>
    <col min="2067" max="2067" width="252" style="5" bestFit="1" customWidth="1"/>
    <col min="2068" max="2068" width="67.28515625" style="5" bestFit="1" customWidth="1"/>
    <col min="2069" max="2069" width="26.5703125" style="5" bestFit="1" customWidth="1"/>
    <col min="2070" max="2070" width="67.28515625" style="5" bestFit="1" customWidth="1"/>
    <col min="2071" max="2071" width="11.7109375" style="5" bestFit="1" customWidth="1"/>
    <col min="2072" max="2072" width="14.42578125" style="5" bestFit="1" customWidth="1"/>
    <col min="2073" max="2073" width="33.28515625" style="5" bestFit="1" customWidth="1"/>
    <col min="2074" max="2074" width="9.28515625" style="5" bestFit="1" customWidth="1"/>
    <col min="2075" max="2075" width="12.42578125" style="5" bestFit="1" customWidth="1"/>
    <col min="2076" max="2076" width="11.42578125" style="5" bestFit="1"/>
    <col min="2077" max="2304" width="11.42578125" style="5"/>
    <col min="2305" max="2305" width="4.7109375" style="5" bestFit="1" customWidth="1"/>
    <col min="2306" max="2309" width="4.42578125" style="5" customWidth="1"/>
    <col min="2310" max="2310" width="10.5703125" style="5" bestFit="1" customWidth="1"/>
    <col min="2311" max="2311" width="13.28515625" style="5" bestFit="1" customWidth="1"/>
    <col min="2312" max="2312" width="8" style="5" bestFit="1" customWidth="1"/>
    <col min="2313" max="2313" width="67.5703125" style="5" bestFit="1" customWidth="1"/>
    <col min="2314" max="2314" width="28.140625" style="5" bestFit="1" customWidth="1"/>
    <col min="2315" max="2315" width="11.85546875" style="5" bestFit="1" customWidth="1"/>
    <col min="2316" max="2316" width="12.85546875" style="5" bestFit="1" customWidth="1"/>
    <col min="2317" max="2317" width="10.140625" style="5" bestFit="1" customWidth="1"/>
    <col min="2318" max="2318" width="10.85546875" style="5" bestFit="1" customWidth="1"/>
    <col min="2319" max="2319" width="15.140625" style="5" bestFit="1" customWidth="1"/>
    <col min="2320" max="2320" width="9.5703125" style="5" bestFit="1" customWidth="1"/>
    <col min="2321" max="2321" width="11.42578125" style="5" bestFit="1"/>
    <col min="2322" max="2322" width="14.28515625" style="5" bestFit="1" customWidth="1"/>
    <col min="2323" max="2323" width="252" style="5" bestFit="1" customWidth="1"/>
    <col min="2324" max="2324" width="67.28515625" style="5" bestFit="1" customWidth="1"/>
    <col min="2325" max="2325" width="26.5703125" style="5" bestFit="1" customWidth="1"/>
    <col min="2326" max="2326" width="67.28515625" style="5" bestFit="1" customWidth="1"/>
    <col min="2327" max="2327" width="11.7109375" style="5" bestFit="1" customWidth="1"/>
    <col min="2328" max="2328" width="14.42578125" style="5" bestFit="1" customWidth="1"/>
    <col min="2329" max="2329" width="33.28515625" style="5" bestFit="1" customWidth="1"/>
    <col min="2330" max="2330" width="9.28515625" style="5" bestFit="1" customWidth="1"/>
    <col min="2331" max="2331" width="12.42578125" style="5" bestFit="1" customWidth="1"/>
    <col min="2332" max="2332" width="11.42578125" style="5" bestFit="1"/>
    <col min="2333" max="2560" width="11.42578125" style="5"/>
    <col min="2561" max="2561" width="4.7109375" style="5" bestFit="1" customWidth="1"/>
    <col min="2562" max="2565" width="4.42578125" style="5" customWidth="1"/>
    <col min="2566" max="2566" width="10.5703125" style="5" bestFit="1" customWidth="1"/>
    <col min="2567" max="2567" width="13.28515625" style="5" bestFit="1" customWidth="1"/>
    <col min="2568" max="2568" width="8" style="5" bestFit="1" customWidth="1"/>
    <col min="2569" max="2569" width="67.5703125" style="5" bestFit="1" customWidth="1"/>
    <col min="2570" max="2570" width="28.140625" style="5" bestFit="1" customWidth="1"/>
    <col min="2571" max="2571" width="11.85546875" style="5" bestFit="1" customWidth="1"/>
    <col min="2572" max="2572" width="12.85546875" style="5" bestFit="1" customWidth="1"/>
    <col min="2573" max="2573" width="10.140625" style="5" bestFit="1" customWidth="1"/>
    <col min="2574" max="2574" width="10.85546875" style="5" bestFit="1" customWidth="1"/>
    <col min="2575" max="2575" width="15.140625" style="5" bestFit="1" customWidth="1"/>
    <col min="2576" max="2576" width="9.5703125" style="5" bestFit="1" customWidth="1"/>
    <col min="2577" max="2577" width="11.42578125" style="5" bestFit="1"/>
    <col min="2578" max="2578" width="14.28515625" style="5" bestFit="1" customWidth="1"/>
    <col min="2579" max="2579" width="252" style="5" bestFit="1" customWidth="1"/>
    <col min="2580" max="2580" width="67.28515625" style="5" bestFit="1" customWidth="1"/>
    <col min="2581" max="2581" width="26.5703125" style="5" bestFit="1" customWidth="1"/>
    <col min="2582" max="2582" width="67.28515625" style="5" bestFit="1" customWidth="1"/>
    <col min="2583" max="2583" width="11.7109375" style="5" bestFit="1" customWidth="1"/>
    <col min="2584" max="2584" width="14.42578125" style="5" bestFit="1" customWidth="1"/>
    <col min="2585" max="2585" width="33.28515625" style="5" bestFit="1" customWidth="1"/>
    <col min="2586" max="2586" width="9.28515625" style="5" bestFit="1" customWidth="1"/>
    <col min="2587" max="2587" width="12.42578125" style="5" bestFit="1" customWidth="1"/>
    <col min="2588" max="2588" width="11.42578125" style="5" bestFit="1"/>
    <col min="2589" max="2816" width="11.42578125" style="5"/>
    <col min="2817" max="2817" width="4.7109375" style="5" bestFit="1" customWidth="1"/>
    <col min="2818" max="2821" width="4.42578125" style="5" customWidth="1"/>
    <col min="2822" max="2822" width="10.5703125" style="5" bestFit="1" customWidth="1"/>
    <col min="2823" max="2823" width="13.28515625" style="5" bestFit="1" customWidth="1"/>
    <col min="2824" max="2824" width="8" style="5" bestFit="1" customWidth="1"/>
    <col min="2825" max="2825" width="67.5703125" style="5" bestFit="1" customWidth="1"/>
    <col min="2826" max="2826" width="28.140625" style="5" bestFit="1" customWidth="1"/>
    <col min="2827" max="2827" width="11.85546875" style="5" bestFit="1" customWidth="1"/>
    <col min="2828" max="2828" width="12.85546875" style="5" bestFit="1" customWidth="1"/>
    <col min="2829" max="2829" width="10.140625" style="5" bestFit="1" customWidth="1"/>
    <col min="2830" max="2830" width="10.85546875" style="5" bestFit="1" customWidth="1"/>
    <col min="2831" max="2831" width="15.140625" style="5" bestFit="1" customWidth="1"/>
    <col min="2832" max="2832" width="9.5703125" style="5" bestFit="1" customWidth="1"/>
    <col min="2833" max="2833" width="11.42578125" style="5" bestFit="1"/>
    <col min="2834" max="2834" width="14.28515625" style="5" bestFit="1" customWidth="1"/>
    <col min="2835" max="2835" width="252" style="5" bestFit="1" customWidth="1"/>
    <col min="2836" max="2836" width="67.28515625" style="5" bestFit="1" customWidth="1"/>
    <col min="2837" max="2837" width="26.5703125" style="5" bestFit="1" customWidth="1"/>
    <col min="2838" max="2838" width="67.28515625" style="5" bestFit="1" customWidth="1"/>
    <col min="2839" max="2839" width="11.7109375" style="5" bestFit="1" customWidth="1"/>
    <col min="2840" max="2840" width="14.42578125" style="5" bestFit="1" customWidth="1"/>
    <col min="2841" max="2841" width="33.28515625" style="5" bestFit="1" customWidth="1"/>
    <col min="2842" max="2842" width="9.28515625" style="5" bestFit="1" customWidth="1"/>
    <col min="2843" max="2843" width="12.42578125" style="5" bestFit="1" customWidth="1"/>
    <col min="2844" max="2844" width="11.42578125" style="5" bestFit="1"/>
    <col min="2845" max="3072" width="11.42578125" style="5"/>
    <col min="3073" max="3073" width="4.7109375" style="5" bestFit="1" customWidth="1"/>
    <col min="3074" max="3077" width="4.42578125" style="5" customWidth="1"/>
    <col min="3078" max="3078" width="10.5703125" style="5" bestFit="1" customWidth="1"/>
    <col min="3079" max="3079" width="13.28515625" style="5" bestFit="1" customWidth="1"/>
    <col min="3080" max="3080" width="8" style="5" bestFit="1" customWidth="1"/>
    <col min="3081" max="3081" width="67.5703125" style="5" bestFit="1" customWidth="1"/>
    <col min="3082" max="3082" width="28.140625" style="5" bestFit="1" customWidth="1"/>
    <col min="3083" max="3083" width="11.85546875" style="5" bestFit="1" customWidth="1"/>
    <col min="3084" max="3084" width="12.85546875" style="5" bestFit="1" customWidth="1"/>
    <col min="3085" max="3085" width="10.140625" style="5" bestFit="1" customWidth="1"/>
    <col min="3086" max="3086" width="10.85546875" style="5" bestFit="1" customWidth="1"/>
    <col min="3087" max="3087" width="15.140625" style="5" bestFit="1" customWidth="1"/>
    <col min="3088" max="3088" width="9.5703125" style="5" bestFit="1" customWidth="1"/>
    <col min="3089" max="3089" width="11.42578125" style="5" bestFit="1"/>
    <col min="3090" max="3090" width="14.28515625" style="5" bestFit="1" customWidth="1"/>
    <col min="3091" max="3091" width="252" style="5" bestFit="1" customWidth="1"/>
    <col min="3092" max="3092" width="67.28515625" style="5" bestFit="1" customWidth="1"/>
    <col min="3093" max="3093" width="26.5703125" style="5" bestFit="1" customWidth="1"/>
    <col min="3094" max="3094" width="67.28515625" style="5" bestFit="1" customWidth="1"/>
    <col min="3095" max="3095" width="11.7109375" style="5" bestFit="1" customWidth="1"/>
    <col min="3096" max="3096" width="14.42578125" style="5" bestFit="1" customWidth="1"/>
    <col min="3097" max="3097" width="33.28515625" style="5" bestFit="1" customWidth="1"/>
    <col min="3098" max="3098" width="9.28515625" style="5" bestFit="1" customWidth="1"/>
    <col min="3099" max="3099" width="12.42578125" style="5" bestFit="1" customWidth="1"/>
    <col min="3100" max="3100" width="11.42578125" style="5" bestFit="1"/>
    <col min="3101" max="3328" width="11.42578125" style="5"/>
    <col min="3329" max="3329" width="4.7109375" style="5" bestFit="1" customWidth="1"/>
    <col min="3330" max="3333" width="4.42578125" style="5" customWidth="1"/>
    <col min="3334" max="3334" width="10.5703125" style="5" bestFit="1" customWidth="1"/>
    <col min="3335" max="3335" width="13.28515625" style="5" bestFit="1" customWidth="1"/>
    <col min="3336" max="3336" width="8" style="5" bestFit="1" customWidth="1"/>
    <col min="3337" max="3337" width="67.5703125" style="5" bestFit="1" customWidth="1"/>
    <col min="3338" max="3338" width="28.140625" style="5" bestFit="1" customWidth="1"/>
    <col min="3339" max="3339" width="11.85546875" style="5" bestFit="1" customWidth="1"/>
    <col min="3340" max="3340" width="12.85546875" style="5" bestFit="1" customWidth="1"/>
    <col min="3341" max="3341" width="10.140625" style="5" bestFit="1" customWidth="1"/>
    <col min="3342" max="3342" width="10.85546875" style="5" bestFit="1" customWidth="1"/>
    <col min="3343" max="3343" width="15.140625" style="5" bestFit="1" customWidth="1"/>
    <col min="3344" max="3344" width="9.5703125" style="5" bestFit="1" customWidth="1"/>
    <col min="3345" max="3345" width="11.42578125" style="5" bestFit="1"/>
    <col min="3346" max="3346" width="14.28515625" style="5" bestFit="1" customWidth="1"/>
    <col min="3347" max="3347" width="252" style="5" bestFit="1" customWidth="1"/>
    <col min="3348" max="3348" width="67.28515625" style="5" bestFit="1" customWidth="1"/>
    <col min="3349" max="3349" width="26.5703125" style="5" bestFit="1" customWidth="1"/>
    <col min="3350" max="3350" width="67.28515625" style="5" bestFit="1" customWidth="1"/>
    <col min="3351" max="3351" width="11.7109375" style="5" bestFit="1" customWidth="1"/>
    <col min="3352" max="3352" width="14.42578125" style="5" bestFit="1" customWidth="1"/>
    <col min="3353" max="3353" width="33.28515625" style="5" bestFit="1" customWidth="1"/>
    <col min="3354" max="3354" width="9.28515625" style="5" bestFit="1" customWidth="1"/>
    <col min="3355" max="3355" width="12.42578125" style="5" bestFit="1" customWidth="1"/>
    <col min="3356" max="3356" width="11.42578125" style="5" bestFit="1"/>
    <col min="3357" max="3584" width="11.42578125" style="5"/>
    <col min="3585" max="3585" width="4.7109375" style="5" bestFit="1" customWidth="1"/>
    <col min="3586" max="3589" width="4.42578125" style="5" customWidth="1"/>
    <col min="3590" max="3590" width="10.5703125" style="5" bestFit="1" customWidth="1"/>
    <col min="3591" max="3591" width="13.28515625" style="5" bestFit="1" customWidth="1"/>
    <col min="3592" max="3592" width="8" style="5" bestFit="1" customWidth="1"/>
    <col min="3593" max="3593" width="67.5703125" style="5" bestFit="1" customWidth="1"/>
    <col min="3594" max="3594" width="28.140625" style="5" bestFit="1" customWidth="1"/>
    <col min="3595" max="3595" width="11.85546875" style="5" bestFit="1" customWidth="1"/>
    <col min="3596" max="3596" width="12.85546875" style="5" bestFit="1" customWidth="1"/>
    <col min="3597" max="3597" width="10.140625" style="5" bestFit="1" customWidth="1"/>
    <col min="3598" max="3598" width="10.85546875" style="5" bestFit="1" customWidth="1"/>
    <col min="3599" max="3599" width="15.140625" style="5" bestFit="1" customWidth="1"/>
    <col min="3600" max="3600" width="9.5703125" style="5" bestFit="1" customWidth="1"/>
    <col min="3601" max="3601" width="11.42578125" style="5" bestFit="1"/>
    <col min="3602" max="3602" width="14.28515625" style="5" bestFit="1" customWidth="1"/>
    <col min="3603" max="3603" width="252" style="5" bestFit="1" customWidth="1"/>
    <col min="3604" max="3604" width="67.28515625" style="5" bestFit="1" customWidth="1"/>
    <col min="3605" max="3605" width="26.5703125" style="5" bestFit="1" customWidth="1"/>
    <col min="3606" max="3606" width="67.28515625" style="5" bestFit="1" customWidth="1"/>
    <col min="3607" max="3607" width="11.7109375" style="5" bestFit="1" customWidth="1"/>
    <col min="3608" max="3608" width="14.42578125" style="5" bestFit="1" customWidth="1"/>
    <col min="3609" max="3609" width="33.28515625" style="5" bestFit="1" customWidth="1"/>
    <col min="3610" max="3610" width="9.28515625" style="5" bestFit="1" customWidth="1"/>
    <col min="3611" max="3611" width="12.42578125" style="5" bestFit="1" customWidth="1"/>
    <col min="3612" max="3612" width="11.42578125" style="5" bestFit="1"/>
    <col min="3613" max="3840" width="11.42578125" style="5"/>
    <col min="3841" max="3841" width="4.7109375" style="5" bestFit="1" customWidth="1"/>
    <col min="3842" max="3845" width="4.42578125" style="5" customWidth="1"/>
    <col min="3846" max="3846" width="10.5703125" style="5" bestFit="1" customWidth="1"/>
    <col min="3847" max="3847" width="13.28515625" style="5" bestFit="1" customWidth="1"/>
    <col min="3848" max="3848" width="8" style="5" bestFit="1" customWidth="1"/>
    <col min="3849" max="3849" width="67.5703125" style="5" bestFit="1" customWidth="1"/>
    <col min="3850" max="3850" width="28.140625" style="5" bestFit="1" customWidth="1"/>
    <col min="3851" max="3851" width="11.85546875" style="5" bestFit="1" customWidth="1"/>
    <col min="3852" max="3852" width="12.85546875" style="5" bestFit="1" customWidth="1"/>
    <col min="3853" max="3853" width="10.140625" style="5" bestFit="1" customWidth="1"/>
    <col min="3854" max="3854" width="10.85546875" style="5" bestFit="1" customWidth="1"/>
    <col min="3855" max="3855" width="15.140625" style="5" bestFit="1" customWidth="1"/>
    <col min="3856" max="3856" width="9.5703125" style="5" bestFit="1" customWidth="1"/>
    <col min="3857" max="3857" width="11.42578125" style="5" bestFit="1"/>
    <col min="3858" max="3858" width="14.28515625" style="5" bestFit="1" customWidth="1"/>
    <col min="3859" max="3859" width="252" style="5" bestFit="1" customWidth="1"/>
    <col min="3860" max="3860" width="67.28515625" style="5" bestFit="1" customWidth="1"/>
    <col min="3861" max="3861" width="26.5703125" style="5" bestFit="1" customWidth="1"/>
    <col min="3862" max="3862" width="67.28515625" style="5" bestFit="1" customWidth="1"/>
    <col min="3863" max="3863" width="11.7109375" style="5" bestFit="1" customWidth="1"/>
    <col min="3864" max="3864" width="14.42578125" style="5" bestFit="1" customWidth="1"/>
    <col min="3865" max="3865" width="33.28515625" style="5" bestFit="1" customWidth="1"/>
    <col min="3866" max="3866" width="9.28515625" style="5" bestFit="1" customWidth="1"/>
    <col min="3867" max="3867" width="12.42578125" style="5" bestFit="1" customWidth="1"/>
    <col min="3868" max="3868" width="11.42578125" style="5" bestFit="1"/>
    <col min="3869" max="4096" width="11.42578125" style="5"/>
    <col min="4097" max="4097" width="4.7109375" style="5" bestFit="1" customWidth="1"/>
    <col min="4098" max="4101" width="4.42578125" style="5" customWidth="1"/>
    <col min="4102" max="4102" width="10.5703125" style="5" bestFit="1" customWidth="1"/>
    <col min="4103" max="4103" width="13.28515625" style="5" bestFit="1" customWidth="1"/>
    <col min="4104" max="4104" width="8" style="5" bestFit="1" customWidth="1"/>
    <col min="4105" max="4105" width="67.5703125" style="5" bestFit="1" customWidth="1"/>
    <col min="4106" max="4106" width="28.140625" style="5" bestFit="1" customWidth="1"/>
    <col min="4107" max="4107" width="11.85546875" style="5" bestFit="1" customWidth="1"/>
    <col min="4108" max="4108" width="12.85546875" style="5" bestFit="1" customWidth="1"/>
    <col min="4109" max="4109" width="10.140625" style="5" bestFit="1" customWidth="1"/>
    <col min="4110" max="4110" width="10.85546875" style="5" bestFit="1" customWidth="1"/>
    <col min="4111" max="4111" width="15.140625" style="5" bestFit="1" customWidth="1"/>
    <col min="4112" max="4112" width="9.5703125" style="5" bestFit="1" customWidth="1"/>
    <col min="4113" max="4113" width="11.42578125" style="5" bestFit="1"/>
    <col min="4114" max="4114" width="14.28515625" style="5" bestFit="1" customWidth="1"/>
    <col min="4115" max="4115" width="252" style="5" bestFit="1" customWidth="1"/>
    <col min="4116" max="4116" width="67.28515625" style="5" bestFit="1" customWidth="1"/>
    <col min="4117" max="4117" width="26.5703125" style="5" bestFit="1" customWidth="1"/>
    <col min="4118" max="4118" width="67.28515625" style="5" bestFit="1" customWidth="1"/>
    <col min="4119" max="4119" width="11.7109375" style="5" bestFit="1" customWidth="1"/>
    <col min="4120" max="4120" width="14.42578125" style="5" bestFit="1" customWidth="1"/>
    <col min="4121" max="4121" width="33.28515625" style="5" bestFit="1" customWidth="1"/>
    <col min="4122" max="4122" width="9.28515625" style="5" bestFit="1" customWidth="1"/>
    <col min="4123" max="4123" width="12.42578125" style="5" bestFit="1" customWidth="1"/>
    <col min="4124" max="4124" width="11.42578125" style="5" bestFit="1"/>
    <col min="4125" max="4352" width="11.42578125" style="5"/>
    <col min="4353" max="4353" width="4.7109375" style="5" bestFit="1" customWidth="1"/>
    <col min="4354" max="4357" width="4.42578125" style="5" customWidth="1"/>
    <col min="4358" max="4358" width="10.5703125" style="5" bestFit="1" customWidth="1"/>
    <col min="4359" max="4359" width="13.28515625" style="5" bestFit="1" customWidth="1"/>
    <col min="4360" max="4360" width="8" style="5" bestFit="1" customWidth="1"/>
    <col min="4361" max="4361" width="67.5703125" style="5" bestFit="1" customWidth="1"/>
    <col min="4362" max="4362" width="28.140625" style="5" bestFit="1" customWidth="1"/>
    <col min="4363" max="4363" width="11.85546875" style="5" bestFit="1" customWidth="1"/>
    <col min="4364" max="4364" width="12.85546875" style="5" bestFit="1" customWidth="1"/>
    <col min="4365" max="4365" width="10.140625" style="5" bestFit="1" customWidth="1"/>
    <col min="4366" max="4366" width="10.85546875" style="5" bestFit="1" customWidth="1"/>
    <col min="4367" max="4367" width="15.140625" style="5" bestFit="1" customWidth="1"/>
    <col min="4368" max="4368" width="9.5703125" style="5" bestFit="1" customWidth="1"/>
    <col min="4369" max="4369" width="11.42578125" style="5" bestFit="1"/>
    <col min="4370" max="4370" width="14.28515625" style="5" bestFit="1" customWidth="1"/>
    <col min="4371" max="4371" width="252" style="5" bestFit="1" customWidth="1"/>
    <col min="4372" max="4372" width="67.28515625" style="5" bestFit="1" customWidth="1"/>
    <col min="4373" max="4373" width="26.5703125" style="5" bestFit="1" customWidth="1"/>
    <col min="4374" max="4374" width="67.28515625" style="5" bestFit="1" customWidth="1"/>
    <col min="4375" max="4375" width="11.7109375" style="5" bestFit="1" customWidth="1"/>
    <col min="4376" max="4376" width="14.42578125" style="5" bestFit="1" customWidth="1"/>
    <col min="4377" max="4377" width="33.28515625" style="5" bestFit="1" customWidth="1"/>
    <col min="4378" max="4378" width="9.28515625" style="5" bestFit="1" customWidth="1"/>
    <col min="4379" max="4379" width="12.42578125" style="5" bestFit="1" customWidth="1"/>
    <col min="4380" max="4380" width="11.42578125" style="5" bestFit="1"/>
    <col min="4381" max="4608" width="11.42578125" style="5"/>
    <col min="4609" max="4609" width="4.7109375" style="5" bestFit="1" customWidth="1"/>
    <col min="4610" max="4613" width="4.42578125" style="5" customWidth="1"/>
    <col min="4614" max="4614" width="10.5703125" style="5" bestFit="1" customWidth="1"/>
    <col min="4615" max="4615" width="13.28515625" style="5" bestFit="1" customWidth="1"/>
    <col min="4616" max="4616" width="8" style="5" bestFit="1" customWidth="1"/>
    <col min="4617" max="4617" width="67.5703125" style="5" bestFit="1" customWidth="1"/>
    <col min="4618" max="4618" width="28.140625" style="5" bestFit="1" customWidth="1"/>
    <col min="4619" max="4619" width="11.85546875" style="5" bestFit="1" customWidth="1"/>
    <col min="4620" max="4620" width="12.85546875" style="5" bestFit="1" customWidth="1"/>
    <col min="4621" max="4621" width="10.140625" style="5" bestFit="1" customWidth="1"/>
    <col min="4622" max="4622" width="10.85546875" style="5" bestFit="1" customWidth="1"/>
    <col min="4623" max="4623" width="15.140625" style="5" bestFit="1" customWidth="1"/>
    <col min="4624" max="4624" width="9.5703125" style="5" bestFit="1" customWidth="1"/>
    <col min="4625" max="4625" width="11.42578125" style="5" bestFit="1"/>
    <col min="4626" max="4626" width="14.28515625" style="5" bestFit="1" customWidth="1"/>
    <col min="4627" max="4627" width="252" style="5" bestFit="1" customWidth="1"/>
    <col min="4628" max="4628" width="67.28515625" style="5" bestFit="1" customWidth="1"/>
    <col min="4629" max="4629" width="26.5703125" style="5" bestFit="1" customWidth="1"/>
    <col min="4630" max="4630" width="67.28515625" style="5" bestFit="1" customWidth="1"/>
    <col min="4631" max="4631" width="11.7109375" style="5" bestFit="1" customWidth="1"/>
    <col min="4632" max="4632" width="14.42578125" style="5" bestFit="1" customWidth="1"/>
    <col min="4633" max="4633" width="33.28515625" style="5" bestFit="1" customWidth="1"/>
    <col min="4634" max="4634" width="9.28515625" style="5" bestFit="1" customWidth="1"/>
    <col min="4635" max="4635" width="12.42578125" style="5" bestFit="1" customWidth="1"/>
    <col min="4636" max="4636" width="11.42578125" style="5" bestFit="1"/>
    <col min="4637" max="4864" width="11.42578125" style="5"/>
    <col min="4865" max="4865" width="4.7109375" style="5" bestFit="1" customWidth="1"/>
    <col min="4866" max="4869" width="4.42578125" style="5" customWidth="1"/>
    <col min="4870" max="4870" width="10.5703125" style="5" bestFit="1" customWidth="1"/>
    <col min="4871" max="4871" width="13.28515625" style="5" bestFit="1" customWidth="1"/>
    <col min="4872" max="4872" width="8" style="5" bestFit="1" customWidth="1"/>
    <col min="4873" max="4873" width="67.5703125" style="5" bestFit="1" customWidth="1"/>
    <col min="4874" max="4874" width="28.140625" style="5" bestFit="1" customWidth="1"/>
    <col min="4875" max="4875" width="11.85546875" style="5" bestFit="1" customWidth="1"/>
    <col min="4876" max="4876" width="12.85546875" style="5" bestFit="1" customWidth="1"/>
    <col min="4877" max="4877" width="10.140625" style="5" bestFit="1" customWidth="1"/>
    <col min="4878" max="4878" width="10.85546875" style="5" bestFit="1" customWidth="1"/>
    <col min="4879" max="4879" width="15.140625" style="5" bestFit="1" customWidth="1"/>
    <col min="4880" max="4880" width="9.5703125" style="5" bestFit="1" customWidth="1"/>
    <col min="4881" max="4881" width="11.42578125" style="5" bestFit="1"/>
    <col min="4882" max="4882" width="14.28515625" style="5" bestFit="1" customWidth="1"/>
    <col min="4883" max="4883" width="252" style="5" bestFit="1" customWidth="1"/>
    <col min="4884" max="4884" width="67.28515625" style="5" bestFit="1" customWidth="1"/>
    <col min="4885" max="4885" width="26.5703125" style="5" bestFit="1" customWidth="1"/>
    <col min="4886" max="4886" width="67.28515625" style="5" bestFit="1" customWidth="1"/>
    <col min="4887" max="4887" width="11.7109375" style="5" bestFit="1" customWidth="1"/>
    <col min="4888" max="4888" width="14.42578125" style="5" bestFit="1" customWidth="1"/>
    <col min="4889" max="4889" width="33.28515625" style="5" bestFit="1" customWidth="1"/>
    <col min="4890" max="4890" width="9.28515625" style="5" bestFit="1" customWidth="1"/>
    <col min="4891" max="4891" width="12.42578125" style="5" bestFit="1" customWidth="1"/>
    <col min="4892" max="4892" width="11.42578125" style="5" bestFit="1"/>
    <col min="4893" max="5120" width="11.42578125" style="5"/>
    <col min="5121" max="5121" width="4.7109375" style="5" bestFit="1" customWidth="1"/>
    <col min="5122" max="5125" width="4.42578125" style="5" customWidth="1"/>
    <col min="5126" max="5126" width="10.5703125" style="5" bestFit="1" customWidth="1"/>
    <col min="5127" max="5127" width="13.28515625" style="5" bestFit="1" customWidth="1"/>
    <col min="5128" max="5128" width="8" style="5" bestFit="1" customWidth="1"/>
    <col min="5129" max="5129" width="67.5703125" style="5" bestFit="1" customWidth="1"/>
    <col min="5130" max="5130" width="28.140625" style="5" bestFit="1" customWidth="1"/>
    <col min="5131" max="5131" width="11.85546875" style="5" bestFit="1" customWidth="1"/>
    <col min="5132" max="5132" width="12.85546875" style="5" bestFit="1" customWidth="1"/>
    <col min="5133" max="5133" width="10.140625" style="5" bestFit="1" customWidth="1"/>
    <col min="5134" max="5134" width="10.85546875" style="5" bestFit="1" customWidth="1"/>
    <col min="5135" max="5135" width="15.140625" style="5" bestFit="1" customWidth="1"/>
    <col min="5136" max="5136" width="9.5703125" style="5" bestFit="1" customWidth="1"/>
    <col min="5137" max="5137" width="11.42578125" style="5" bestFit="1"/>
    <col min="5138" max="5138" width="14.28515625" style="5" bestFit="1" customWidth="1"/>
    <col min="5139" max="5139" width="252" style="5" bestFit="1" customWidth="1"/>
    <col min="5140" max="5140" width="67.28515625" style="5" bestFit="1" customWidth="1"/>
    <col min="5141" max="5141" width="26.5703125" style="5" bestFit="1" customWidth="1"/>
    <col min="5142" max="5142" width="67.28515625" style="5" bestFit="1" customWidth="1"/>
    <col min="5143" max="5143" width="11.7109375" style="5" bestFit="1" customWidth="1"/>
    <col min="5144" max="5144" width="14.42578125" style="5" bestFit="1" customWidth="1"/>
    <col min="5145" max="5145" width="33.28515625" style="5" bestFit="1" customWidth="1"/>
    <col min="5146" max="5146" width="9.28515625" style="5" bestFit="1" customWidth="1"/>
    <col min="5147" max="5147" width="12.42578125" style="5" bestFit="1" customWidth="1"/>
    <col min="5148" max="5148" width="11.42578125" style="5" bestFit="1"/>
    <col min="5149" max="5376" width="11.42578125" style="5"/>
    <col min="5377" max="5377" width="4.7109375" style="5" bestFit="1" customWidth="1"/>
    <col min="5378" max="5381" width="4.42578125" style="5" customWidth="1"/>
    <col min="5382" max="5382" width="10.5703125" style="5" bestFit="1" customWidth="1"/>
    <col min="5383" max="5383" width="13.28515625" style="5" bestFit="1" customWidth="1"/>
    <col min="5384" max="5384" width="8" style="5" bestFit="1" customWidth="1"/>
    <col min="5385" max="5385" width="67.5703125" style="5" bestFit="1" customWidth="1"/>
    <col min="5386" max="5386" width="28.140625" style="5" bestFit="1" customWidth="1"/>
    <col min="5387" max="5387" width="11.85546875" style="5" bestFit="1" customWidth="1"/>
    <col min="5388" max="5388" width="12.85546875" style="5" bestFit="1" customWidth="1"/>
    <col min="5389" max="5389" width="10.140625" style="5" bestFit="1" customWidth="1"/>
    <col min="5390" max="5390" width="10.85546875" style="5" bestFit="1" customWidth="1"/>
    <col min="5391" max="5391" width="15.140625" style="5" bestFit="1" customWidth="1"/>
    <col min="5392" max="5392" width="9.5703125" style="5" bestFit="1" customWidth="1"/>
    <col min="5393" max="5393" width="11.42578125" style="5" bestFit="1"/>
    <col min="5394" max="5394" width="14.28515625" style="5" bestFit="1" customWidth="1"/>
    <col min="5395" max="5395" width="252" style="5" bestFit="1" customWidth="1"/>
    <col min="5396" max="5396" width="67.28515625" style="5" bestFit="1" customWidth="1"/>
    <col min="5397" max="5397" width="26.5703125" style="5" bestFit="1" customWidth="1"/>
    <col min="5398" max="5398" width="67.28515625" style="5" bestFit="1" customWidth="1"/>
    <col min="5399" max="5399" width="11.7109375" style="5" bestFit="1" customWidth="1"/>
    <col min="5400" max="5400" width="14.42578125" style="5" bestFit="1" customWidth="1"/>
    <col min="5401" max="5401" width="33.28515625" style="5" bestFit="1" customWidth="1"/>
    <col min="5402" max="5402" width="9.28515625" style="5" bestFit="1" customWidth="1"/>
    <col min="5403" max="5403" width="12.42578125" style="5" bestFit="1" customWidth="1"/>
    <col min="5404" max="5404" width="11.42578125" style="5" bestFit="1"/>
    <col min="5405" max="5632" width="11.42578125" style="5"/>
    <col min="5633" max="5633" width="4.7109375" style="5" bestFit="1" customWidth="1"/>
    <col min="5634" max="5637" width="4.42578125" style="5" customWidth="1"/>
    <col min="5638" max="5638" width="10.5703125" style="5" bestFit="1" customWidth="1"/>
    <col min="5639" max="5639" width="13.28515625" style="5" bestFit="1" customWidth="1"/>
    <col min="5640" max="5640" width="8" style="5" bestFit="1" customWidth="1"/>
    <col min="5641" max="5641" width="67.5703125" style="5" bestFit="1" customWidth="1"/>
    <col min="5642" max="5642" width="28.140625" style="5" bestFit="1" customWidth="1"/>
    <col min="5643" max="5643" width="11.85546875" style="5" bestFit="1" customWidth="1"/>
    <col min="5644" max="5644" width="12.85546875" style="5" bestFit="1" customWidth="1"/>
    <col min="5645" max="5645" width="10.140625" style="5" bestFit="1" customWidth="1"/>
    <col min="5646" max="5646" width="10.85546875" style="5" bestFit="1" customWidth="1"/>
    <col min="5647" max="5647" width="15.140625" style="5" bestFit="1" customWidth="1"/>
    <col min="5648" max="5648" width="9.5703125" style="5" bestFit="1" customWidth="1"/>
    <col min="5649" max="5649" width="11.42578125" style="5" bestFit="1"/>
    <col min="5650" max="5650" width="14.28515625" style="5" bestFit="1" customWidth="1"/>
    <col min="5651" max="5651" width="252" style="5" bestFit="1" customWidth="1"/>
    <col min="5652" max="5652" width="67.28515625" style="5" bestFit="1" customWidth="1"/>
    <col min="5653" max="5653" width="26.5703125" style="5" bestFit="1" customWidth="1"/>
    <col min="5654" max="5654" width="67.28515625" style="5" bestFit="1" customWidth="1"/>
    <col min="5655" max="5655" width="11.7109375" style="5" bestFit="1" customWidth="1"/>
    <col min="5656" max="5656" width="14.42578125" style="5" bestFit="1" customWidth="1"/>
    <col min="5657" max="5657" width="33.28515625" style="5" bestFit="1" customWidth="1"/>
    <col min="5658" max="5658" width="9.28515625" style="5" bestFit="1" customWidth="1"/>
    <col min="5659" max="5659" width="12.42578125" style="5" bestFit="1" customWidth="1"/>
    <col min="5660" max="5660" width="11.42578125" style="5" bestFit="1"/>
    <col min="5661" max="5888" width="11.42578125" style="5"/>
    <col min="5889" max="5889" width="4.7109375" style="5" bestFit="1" customWidth="1"/>
    <col min="5890" max="5893" width="4.42578125" style="5" customWidth="1"/>
    <col min="5894" max="5894" width="10.5703125" style="5" bestFit="1" customWidth="1"/>
    <col min="5895" max="5895" width="13.28515625" style="5" bestFit="1" customWidth="1"/>
    <col min="5896" max="5896" width="8" style="5" bestFit="1" customWidth="1"/>
    <col min="5897" max="5897" width="67.5703125" style="5" bestFit="1" customWidth="1"/>
    <col min="5898" max="5898" width="28.140625" style="5" bestFit="1" customWidth="1"/>
    <col min="5899" max="5899" width="11.85546875" style="5" bestFit="1" customWidth="1"/>
    <col min="5900" max="5900" width="12.85546875" style="5" bestFit="1" customWidth="1"/>
    <col min="5901" max="5901" width="10.140625" style="5" bestFit="1" customWidth="1"/>
    <col min="5902" max="5902" width="10.85546875" style="5" bestFit="1" customWidth="1"/>
    <col min="5903" max="5903" width="15.140625" style="5" bestFit="1" customWidth="1"/>
    <col min="5904" max="5904" width="9.5703125" style="5" bestFit="1" customWidth="1"/>
    <col min="5905" max="5905" width="11.42578125" style="5" bestFit="1"/>
    <col min="5906" max="5906" width="14.28515625" style="5" bestFit="1" customWidth="1"/>
    <col min="5907" max="5907" width="252" style="5" bestFit="1" customWidth="1"/>
    <col min="5908" max="5908" width="67.28515625" style="5" bestFit="1" customWidth="1"/>
    <col min="5909" max="5909" width="26.5703125" style="5" bestFit="1" customWidth="1"/>
    <col min="5910" max="5910" width="67.28515625" style="5" bestFit="1" customWidth="1"/>
    <col min="5911" max="5911" width="11.7109375" style="5" bestFit="1" customWidth="1"/>
    <col min="5912" max="5912" width="14.42578125" style="5" bestFit="1" customWidth="1"/>
    <col min="5913" max="5913" width="33.28515625" style="5" bestFit="1" customWidth="1"/>
    <col min="5914" max="5914" width="9.28515625" style="5" bestFit="1" customWidth="1"/>
    <col min="5915" max="5915" width="12.42578125" style="5" bestFit="1" customWidth="1"/>
    <col min="5916" max="5916" width="11.42578125" style="5" bestFit="1"/>
    <col min="5917" max="6144" width="11.42578125" style="5"/>
    <col min="6145" max="6145" width="4.7109375" style="5" bestFit="1" customWidth="1"/>
    <col min="6146" max="6149" width="4.42578125" style="5" customWidth="1"/>
    <col min="6150" max="6150" width="10.5703125" style="5" bestFit="1" customWidth="1"/>
    <col min="6151" max="6151" width="13.28515625" style="5" bestFit="1" customWidth="1"/>
    <col min="6152" max="6152" width="8" style="5" bestFit="1" customWidth="1"/>
    <col min="6153" max="6153" width="67.5703125" style="5" bestFit="1" customWidth="1"/>
    <col min="6154" max="6154" width="28.140625" style="5" bestFit="1" customWidth="1"/>
    <col min="6155" max="6155" width="11.85546875" style="5" bestFit="1" customWidth="1"/>
    <col min="6156" max="6156" width="12.85546875" style="5" bestFit="1" customWidth="1"/>
    <col min="6157" max="6157" width="10.140625" style="5" bestFit="1" customWidth="1"/>
    <col min="6158" max="6158" width="10.85546875" style="5" bestFit="1" customWidth="1"/>
    <col min="6159" max="6159" width="15.140625" style="5" bestFit="1" customWidth="1"/>
    <col min="6160" max="6160" width="9.5703125" style="5" bestFit="1" customWidth="1"/>
    <col min="6161" max="6161" width="11.42578125" style="5" bestFit="1"/>
    <col min="6162" max="6162" width="14.28515625" style="5" bestFit="1" customWidth="1"/>
    <col min="6163" max="6163" width="252" style="5" bestFit="1" customWidth="1"/>
    <col min="6164" max="6164" width="67.28515625" style="5" bestFit="1" customWidth="1"/>
    <col min="6165" max="6165" width="26.5703125" style="5" bestFit="1" customWidth="1"/>
    <col min="6166" max="6166" width="67.28515625" style="5" bestFit="1" customWidth="1"/>
    <col min="6167" max="6167" width="11.7109375" style="5" bestFit="1" customWidth="1"/>
    <col min="6168" max="6168" width="14.42578125" style="5" bestFit="1" customWidth="1"/>
    <col min="6169" max="6169" width="33.28515625" style="5" bestFit="1" customWidth="1"/>
    <col min="6170" max="6170" width="9.28515625" style="5" bestFit="1" customWidth="1"/>
    <col min="6171" max="6171" width="12.42578125" style="5" bestFit="1" customWidth="1"/>
    <col min="6172" max="6172" width="11.42578125" style="5" bestFit="1"/>
    <col min="6173" max="6400" width="11.42578125" style="5"/>
    <col min="6401" max="6401" width="4.7109375" style="5" bestFit="1" customWidth="1"/>
    <col min="6402" max="6405" width="4.42578125" style="5" customWidth="1"/>
    <col min="6406" max="6406" width="10.5703125" style="5" bestFit="1" customWidth="1"/>
    <col min="6407" max="6407" width="13.28515625" style="5" bestFit="1" customWidth="1"/>
    <col min="6408" max="6408" width="8" style="5" bestFit="1" customWidth="1"/>
    <col min="6409" max="6409" width="67.5703125" style="5" bestFit="1" customWidth="1"/>
    <col min="6410" max="6410" width="28.140625" style="5" bestFit="1" customWidth="1"/>
    <col min="6411" max="6411" width="11.85546875" style="5" bestFit="1" customWidth="1"/>
    <col min="6412" max="6412" width="12.85546875" style="5" bestFit="1" customWidth="1"/>
    <col min="6413" max="6413" width="10.140625" style="5" bestFit="1" customWidth="1"/>
    <col min="6414" max="6414" width="10.85546875" style="5" bestFit="1" customWidth="1"/>
    <col min="6415" max="6415" width="15.140625" style="5" bestFit="1" customWidth="1"/>
    <col min="6416" max="6416" width="9.5703125" style="5" bestFit="1" customWidth="1"/>
    <col min="6417" max="6417" width="11.42578125" style="5" bestFit="1"/>
    <col min="6418" max="6418" width="14.28515625" style="5" bestFit="1" customWidth="1"/>
    <col min="6419" max="6419" width="252" style="5" bestFit="1" customWidth="1"/>
    <col min="6420" max="6420" width="67.28515625" style="5" bestFit="1" customWidth="1"/>
    <col min="6421" max="6421" width="26.5703125" style="5" bestFit="1" customWidth="1"/>
    <col min="6422" max="6422" width="67.28515625" style="5" bestFit="1" customWidth="1"/>
    <col min="6423" max="6423" width="11.7109375" style="5" bestFit="1" customWidth="1"/>
    <col min="6424" max="6424" width="14.42578125" style="5" bestFit="1" customWidth="1"/>
    <col min="6425" max="6425" width="33.28515625" style="5" bestFit="1" customWidth="1"/>
    <col min="6426" max="6426" width="9.28515625" style="5" bestFit="1" customWidth="1"/>
    <col min="6427" max="6427" width="12.42578125" style="5" bestFit="1" customWidth="1"/>
    <col min="6428" max="6428" width="11.42578125" style="5" bestFit="1"/>
    <col min="6429" max="6656" width="11.42578125" style="5"/>
    <col min="6657" max="6657" width="4.7109375" style="5" bestFit="1" customWidth="1"/>
    <col min="6658" max="6661" width="4.42578125" style="5" customWidth="1"/>
    <col min="6662" max="6662" width="10.5703125" style="5" bestFit="1" customWidth="1"/>
    <col min="6663" max="6663" width="13.28515625" style="5" bestFit="1" customWidth="1"/>
    <col min="6664" max="6664" width="8" style="5" bestFit="1" customWidth="1"/>
    <col min="6665" max="6665" width="67.5703125" style="5" bestFit="1" customWidth="1"/>
    <col min="6666" max="6666" width="28.140625" style="5" bestFit="1" customWidth="1"/>
    <col min="6667" max="6667" width="11.85546875" style="5" bestFit="1" customWidth="1"/>
    <col min="6668" max="6668" width="12.85546875" style="5" bestFit="1" customWidth="1"/>
    <col min="6669" max="6669" width="10.140625" style="5" bestFit="1" customWidth="1"/>
    <col min="6670" max="6670" width="10.85546875" style="5" bestFit="1" customWidth="1"/>
    <col min="6671" max="6671" width="15.140625" style="5" bestFit="1" customWidth="1"/>
    <col min="6672" max="6672" width="9.5703125" style="5" bestFit="1" customWidth="1"/>
    <col min="6673" max="6673" width="11.42578125" style="5" bestFit="1"/>
    <col min="6674" max="6674" width="14.28515625" style="5" bestFit="1" customWidth="1"/>
    <col min="6675" max="6675" width="252" style="5" bestFit="1" customWidth="1"/>
    <col min="6676" max="6676" width="67.28515625" style="5" bestFit="1" customWidth="1"/>
    <col min="6677" max="6677" width="26.5703125" style="5" bestFit="1" customWidth="1"/>
    <col min="6678" max="6678" width="67.28515625" style="5" bestFit="1" customWidth="1"/>
    <col min="6679" max="6679" width="11.7109375" style="5" bestFit="1" customWidth="1"/>
    <col min="6680" max="6680" width="14.42578125" style="5" bestFit="1" customWidth="1"/>
    <col min="6681" max="6681" width="33.28515625" style="5" bestFit="1" customWidth="1"/>
    <col min="6682" max="6682" width="9.28515625" style="5" bestFit="1" customWidth="1"/>
    <col min="6683" max="6683" width="12.42578125" style="5" bestFit="1" customWidth="1"/>
    <col min="6684" max="6684" width="11.42578125" style="5" bestFit="1"/>
    <col min="6685" max="6912" width="11.42578125" style="5"/>
    <col min="6913" max="6913" width="4.7109375" style="5" bestFit="1" customWidth="1"/>
    <col min="6914" max="6917" width="4.42578125" style="5" customWidth="1"/>
    <col min="6918" max="6918" width="10.5703125" style="5" bestFit="1" customWidth="1"/>
    <col min="6919" max="6919" width="13.28515625" style="5" bestFit="1" customWidth="1"/>
    <col min="6920" max="6920" width="8" style="5" bestFit="1" customWidth="1"/>
    <col min="6921" max="6921" width="67.5703125" style="5" bestFit="1" customWidth="1"/>
    <col min="6922" max="6922" width="28.140625" style="5" bestFit="1" customWidth="1"/>
    <col min="6923" max="6923" width="11.85546875" style="5" bestFit="1" customWidth="1"/>
    <col min="6924" max="6924" width="12.85546875" style="5" bestFit="1" customWidth="1"/>
    <col min="6925" max="6925" width="10.140625" style="5" bestFit="1" customWidth="1"/>
    <col min="6926" max="6926" width="10.85546875" style="5" bestFit="1" customWidth="1"/>
    <col min="6927" max="6927" width="15.140625" style="5" bestFit="1" customWidth="1"/>
    <col min="6928" max="6928" width="9.5703125" style="5" bestFit="1" customWidth="1"/>
    <col min="6929" max="6929" width="11.42578125" style="5" bestFit="1"/>
    <col min="6930" max="6930" width="14.28515625" style="5" bestFit="1" customWidth="1"/>
    <col min="6931" max="6931" width="252" style="5" bestFit="1" customWidth="1"/>
    <col min="6932" max="6932" width="67.28515625" style="5" bestFit="1" customWidth="1"/>
    <col min="6933" max="6933" width="26.5703125" style="5" bestFit="1" customWidth="1"/>
    <col min="6934" max="6934" width="67.28515625" style="5" bestFit="1" customWidth="1"/>
    <col min="6935" max="6935" width="11.7109375" style="5" bestFit="1" customWidth="1"/>
    <col min="6936" max="6936" width="14.42578125" style="5" bestFit="1" customWidth="1"/>
    <col min="6937" max="6937" width="33.28515625" style="5" bestFit="1" customWidth="1"/>
    <col min="6938" max="6938" width="9.28515625" style="5" bestFit="1" customWidth="1"/>
    <col min="6939" max="6939" width="12.42578125" style="5" bestFit="1" customWidth="1"/>
    <col min="6940" max="6940" width="11.42578125" style="5" bestFit="1"/>
    <col min="6941" max="7168" width="11.42578125" style="5"/>
    <col min="7169" max="7169" width="4.7109375" style="5" bestFit="1" customWidth="1"/>
    <col min="7170" max="7173" width="4.42578125" style="5" customWidth="1"/>
    <col min="7174" max="7174" width="10.5703125" style="5" bestFit="1" customWidth="1"/>
    <col min="7175" max="7175" width="13.28515625" style="5" bestFit="1" customWidth="1"/>
    <col min="7176" max="7176" width="8" style="5" bestFit="1" customWidth="1"/>
    <col min="7177" max="7177" width="67.5703125" style="5" bestFit="1" customWidth="1"/>
    <col min="7178" max="7178" width="28.140625" style="5" bestFit="1" customWidth="1"/>
    <col min="7179" max="7179" width="11.85546875" style="5" bestFit="1" customWidth="1"/>
    <col min="7180" max="7180" width="12.85546875" style="5" bestFit="1" customWidth="1"/>
    <col min="7181" max="7181" width="10.140625" style="5" bestFit="1" customWidth="1"/>
    <col min="7182" max="7182" width="10.85546875" style="5" bestFit="1" customWidth="1"/>
    <col min="7183" max="7183" width="15.140625" style="5" bestFit="1" customWidth="1"/>
    <col min="7184" max="7184" width="9.5703125" style="5" bestFit="1" customWidth="1"/>
    <col min="7185" max="7185" width="11.42578125" style="5" bestFit="1"/>
    <col min="7186" max="7186" width="14.28515625" style="5" bestFit="1" customWidth="1"/>
    <col min="7187" max="7187" width="252" style="5" bestFit="1" customWidth="1"/>
    <col min="7188" max="7188" width="67.28515625" style="5" bestFit="1" customWidth="1"/>
    <col min="7189" max="7189" width="26.5703125" style="5" bestFit="1" customWidth="1"/>
    <col min="7190" max="7190" width="67.28515625" style="5" bestFit="1" customWidth="1"/>
    <col min="7191" max="7191" width="11.7109375" style="5" bestFit="1" customWidth="1"/>
    <col min="7192" max="7192" width="14.42578125" style="5" bestFit="1" customWidth="1"/>
    <col min="7193" max="7193" width="33.28515625" style="5" bestFit="1" customWidth="1"/>
    <col min="7194" max="7194" width="9.28515625" style="5" bestFit="1" customWidth="1"/>
    <col min="7195" max="7195" width="12.42578125" style="5" bestFit="1" customWidth="1"/>
    <col min="7196" max="7196" width="11.42578125" style="5" bestFit="1"/>
    <col min="7197" max="7424" width="11.42578125" style="5"/>
    <col min="7425" max="7425" width="4.7109375" style="5" bestFit="1" customWidth="1"/>
    <col min="7426" max="7429" width="4.42578125" style="5" customWidth="1"/>
    <col min="7430" max="7430" width="10.5703125" style="5" bestFit="1" customWidth="1"/>
    <col min="7431" max="7431" width="13.28515625" style="5" bestFit="1" customWidth="1"/>
    <col min="7432" max="7432" width="8" style="5" bestFit="1" customWidth="1"/>
    <col min="7433" max="7433" width="67.5703125" style="5" bestFit="1" customWidth="1"/>
    <col min="7434" max="7434" width="28.140625" style="5" bestFit="1" customWidth="1"/>
    <col min="7435" max="7435" width="11.85546875" style="5" bestFit="1" customWidth="1"/>
    <col min="7436" max="7436" width="12.85546875" style="5" bestFit="1" customWidth="1"/>
    <col min="7437" max="7437" width="10.140625" style="5" bestFit="1" customWidth="1"/>
    <col min="7438" max="7438" width="10.85546875" style="5" bestFit="1" customWidth="1"/>
    <col min="7439" max="7439" width="15.140625" style="5" bestFit="1" customWidth="1"/>
    <col min="7440" max="7440" width="9.5703125" style="5" bestFit="1" customWidth="1"/>
    <col min="7441" max="7441" width="11.42578125" style="5" bestFit="1"/>
    <col min="7442" max="7442" width="14.28515625" style="5" bestFit="1" customWidth="1"/>
    <col min="7443" max="7443" width="252" style="5" bestFit="1" customWidth="1"/>
    <col min="7444" max="7444" width="67.28515625" style="5" bestFit="1" customWidth="1"/>
    <col min="7445" max="7445" width="26.5703125" style="5" bestFit="1" customWidth="1"/>
    <col min="7446" max="7446" width="67.28515625" style="5" bestFit="1" customWidth="1"/>
    <col min="7447" max="7447" width="11.7109375" style="5" bestFit="1" customWidth="1"/>
    <col min="7448" max="7448" width="14.42578125" style="5" bestFit="1" customWidth="1"/>
    <col min="7449" max="7449" width="33.28515625" style="5" bestFit="1" customWidth="1"/>
    <col min="7450" max="7450" width="9.28515625" style="5" bestFit="1" customWidth="1"/>
    <col min="7451" max="7451" width="12.42578125" style="5" bestFit="1" customWidth="1"/>
    <col min="7452" max="7452" width="11.42578125" style="5" bestFit="1"/>
    <col min="7453" max="7680" width="11.42578125" style="5"/>
    <col min="7681" max="7681" width="4.7109375" style="5" bestFit="1" customWidth="1"/>
    <col min="7682" max="7685" width="4.42578125" style="5" customWidth="1"/>
    <col min="7686" max="7686" width="10.5703125" style="5" bestFit="1" customWidth="1"/>
    <col min="7687" max="7687" width="13.28515625" style="5" bestFit="1" customWidth="1"/>
    <col min="7688" max="7688" width="8" style="5" bestFit="1" customWidth="1"/>
    <col min="7689" max="7689" width="67.5703125" style="5" bestFit="1" customWidth="1"/>
    <col min="7690" max="7690" width="28.140625" style="5" bestFit="1" customWidth="1"/>
    <col min="7691" max="7691" width="11.85546875" style="5" bestFit="1" customWidth="1"/>
    <col min="7692" max="7692" width="12.85546875" style="5" bestFit="1" customWidth="1"/>
    <col min="7693" max="7693" width="10.140625" style="5" bestFit="1" customWidth="1"/>
    <col min="7694" max="7694" width="10.85546875" style="5" bestFit="1" customWidth="1"/>
    <col min="7695" max="7695" width="15.140625" style="5" bestFit="1" customWidth="1"/>
    <col min="7696" max="7696" width="9.5703125" style="5" bestFit="1" customWidth="1"/>
    <col min="7697" max="7697" width="11.42578125" style="5" bestFit="1"/>
    <col min="7698" max="7698" width="14.28515625" style="5" bestFit="1" customWidth="1"/>
    <col min="7699" max="7699" width="252" style="5" bestFit="1" customWidth="1"/>
    <col min="7700" max="7700" width="67.28515625" style="5" bestFit="1" customWidth="1"/>
    <col min="7701" max="7701" width="26.5703125" style="5" bestFit="1" customWidth="1"/>
    <col min="7702" max="7702" width="67.28515625" style="5" bestFit="1" customWidth="1"/>
    <col min="7703" max="7703" width="11.7109375" style="5" bestFit="1" customWidth="1"/>
    <col min="7704" max="7704" width="14.42578125" style="5" bestFit="1" customWidth="1"/>
    <col min="7705" max="7705" width="33.28515625" style="5" bestFit="1" customWidth="1"/>
    <col min="7706" max="7706" width="9.28515625" style="5" bestFit="1" customWidth="1"/>
    <col min="7707" max="7707" width="12.42578125" style="5" bestFit="1" customWidth="1"/>
    <col min="7708" max="7708" width="11.42578125" style="5" bestFit="1"/>
    <col min="7709" max="7936" width="11.42578125" style="5"/>
    <col min="7937" max="7937" width="4.7109375" style="5" bestFit="1" customWidth="1"/>
    <col min="7938" max="7941" width="4.42578125" style="5" customWidth="1"/>
    <col min="7942" max="7942" width="10.5703125" style="5" bestFit="1" customWidth="1"/>
    <col min="7943" max="7943" width="13.28515625" style="5" bestFit="1" customWidth="1"/>
    <col min="7944" max="7944" width="8" style="5" bestFit="1" customWidth="1"/>
    <col min="7945" max="7945" width="67.5703125" style="5" bestFit="1" customWidth="1"/>
    <col min="7946" max="7946" width="28.140625" style="5" bestFit="1" customWidth="1"/>
    <col min="7947" max="7947" width="11.85546875" style="5" bestFit="1" customWidth="1"/>
    <col min="7948" max="7948" width="12.85546875" style="5" bestFit="1" customWidth="1"/>
    <col min="7949" max="7949" width="10.140625" style="5" bestFit="1" customWidth="1"/>
    <col min="7950" max="7950" width="10.85546875" style="5" bestFit="1" customWidth="1"/>
    <col min="7951" max="7951" width="15.140625" style="5" bestFit="1" customWidth="1"/>
    <col min="7952" max="7952" width="9.5703125" style="5" bestFit="1" customWidth="1"/>
    <col min="7953" max="7953" width="11.42578125" style="5" bestFit="1"/>
    <col min="7954" max="7954" width="14.28515625" style="5" bestFit="1" customWidth="1"/>
    <col min="7955" max="7955" width="252" style="5" bestFit="1" customWidth="1"/>
    <col min="7956" max="7956" width="67.28515625" style="5" bestFit="1" customWidth="1"/>
    <col min="7957" max="7957" width="26.5703125" style="5" bestFit="1" customWidth="1"/>
    <col min="7958" max="7958" width="67.28515625" style="5" bestFit="1" customWidth="1"/>
    <col min="7959" max="7959" width="11.7109375" style="5" bestFit="1" customWidth="1"/>
    <col min="7960" max="7960" width="14.42578125" style="5" bestFit="1" customWidth="1"/>
    <col min="7961" max="7961" width="33.28515625" style="5" bestFit="1" customWidth="1"/>
    <col min="7962" max="7962" width="9.28515625" style="5" bestFit="1" customWidth="1"/>
    <col min="7963" max="7963" width="12.42578125" style="5" bestFit="1" customWidth="1"/>
    <col min="7964" max="7964" width="11.42578125" style="5" bestFit="1"/>
    <col min="7965" max="8192" width="11.42578125" style="5"/>
    <col min="8193" max="8193" width="4.7109375" style="5" bestFit="1" customWidth="1"/>
    <col min="8194" max="8197" width="4.42578125" style="5" customWidth="1"/>
    <col min="8198" max="8198" width="10.5703125" style="5" bestFit="1" customWidth="1"/>
    <col min="8199" max="8199" width="13.28515625" style="5" bestFit="1" customWidth="1"/>
    <col min="8200" max="8200" width="8" style="5" bestFit="1" customWidth="1"/>
    <col min="8201" max="8201" width="67.5703125" style="5" bestFit="1" customWidth="1"/>
    <col min="8202" max="8202" width="28.140625" style="5" bestFit="1" customWidth="1"/>
    <col min="8203" max="8203" width="11.85546875" style="5" bestFit="1" customWidth="1"/>
    <col min="8204" max="8204" width="12.85546875" style="5" bestFit="1" customWidth="1"/>
    <col min="8205" max="8205" width="10.140625" style="5" bestFit="1" customWidth="1"/>
    <col min="8206" max="8206" width="10.85546875" style="5" bestFit="1" customWidth="1"/>
    <col min="8207" max="8207" width="15.140625" style="5" bestFit="1" customWidth="1"/>
    <col min="8208" max="8208" width="9.5703125" style="5" bestFit="1" customWidth="1"/>
    <col min="8209" max="8209" width="11.42578125" style="5" bestFit="1"/>
    <col min="8210" max="8210" width="14.28515625" style="5" bestFit="1" customWidth="1"/>
    <col min="8211" max="8211" width="252" style="5" bestFit="1" customWidth="1"/>
    <col min="8212" max="8212" width="67.28515625" style="5" bestFit="1" customWidth="1"/>
    <col min="8213" max="8213" width="26.5703125" style="5" bestFit="1" customWidth="1"/>
    <col min="8214" max="8214" width="67.28515625" style="5" bestFit="1" customWidth="1"/>
    <col min="8215" max="8215" width="11.7109375" style="5" bestFit="1" customWidth="1"/>
    <col min="8216" max="8216" width="14.42578125" style="5" bestFit="1" customWidth="1"/>
    <col min="8217" max="8217" width="33.28515625" style="5" bestFit="1" customWidth="1"/>
    <col min="8218" max="8218" width="9.28515625" style="5" bestFit="1" customWidth="1"/>
    <col min="8219" max="8219" width="12.42578125" style="5" bestFit="1" customWidth="1"/>
    <col min="8220" max="8220" width="11.42578125" style="5" bestFit="1"/>
    <col min="8221" max="8448" width="11.42578125" style="5"/>
    <col min="8449" max="8449" width="4.7109375" style="5" bestFit="1" customWidth="1"/>
    <col min="8450" max="8453" width="4.42578125" style="5" customWidth="1"/>
    <col min="8454" max="8454" width="10.5703125" style="5" bestFit="1" customWidth="1"/>
    <col min="8455" max="8455" width="13.28515625" style="5" bestFit="1" customWidth="1"/>
    <col min="8456" max="8456" width="8" style="5" bestFit="1" customWidth="1"/>
    <col min="8457" max="8457" width="67.5703125" style="5" bestFit="1" customWidth="1"/>
    <col min="8458" max="8458" width="28.140625" style="5" bestFit="1" customWidth="1"/>
    <col min="8459" max="8459" width="11.85546875" style="5" bestFit="1" customWidth="1"/>
    <col min="8460" max="8460" width="12.85546875" style="5" bestFit="1" customWidth="1"/>
    <col min="8461" max="8461" width="10.140625" style="5" bestFit="1" customWidth="1"/>
    <col min="8462" max="8462" width="10.85546875" style="5" bestFit="1" customWidth="1"/>
    <col min="8463" max="8463" width="15.140625" style="5" bestFit="1" customWidth="1"/>
    <col min="8464" max="8464" width="9.5703125" style="5" bestFit="1" customWidth="1"/>
    <col min="8465" max="8465" width="11.42578125" style="5" bestFit="1"/>
    <col min="8466" max="8466" width="14.28515625" style="5" bestFit="1" customWidth="1"/>
    <col min="8467" max="8467" width="252" style="5" bestFit="1" customWidth="1"/>
    <col min="8468" max="8468" width="67.28515625" style="5" bestFit="1" customWidth="1"/>
    <col min="8469" max="8469" width="26.5703125" style="5" bestFit="1" customWidth="1"/>
    <col min="8470" max="8470" width="67.28515625" style="5" bestFit="1" customWidth="1"/>
    <col min="8471" max="8471" width="11.7109375" style="5" bestFit="1" customWidth="1"/>
    <col min="8472" max="8472" width="14.42578125" style="5" bestFit="1" customWidth="1"/>
    <col min="8473" max="8473" width="33.28515625" style="5" bestFit="1" customWidth="1"/>
    <col min="8474" max="8474" width="9.28515625" style="5" bestFit="1" customWidth="1"/>
    <col min="8475" max="8475" width="12.42578125" style="5" bestFit="1" customWidth="1"/>
    <col min="8476" max="8476" width="11.42578125" style="5" bestFit="1"/>
    <col min="8477" max="8704" width="11.42578125" style="5"/>
    <col min="8705" max="8705" width="4.7109375" style="5" bestFit="1" customWidth="1"/>
    <col min="8706" max="8709" width="4.42578125" style="5" customWidth="1"/>
    <col min="8710" max="8710" width="10.5703125" style="5" bestFit="1" customWidth="1"/>
    <col min="8711" max="8711" width="13.28515625" style="5" bestFit="1" customWidth="1"/>
    <col min="8712" max="8712" width="8" style="5" bestFit="1" customWidth="1"/>
    <col min="8713" max="8713" width="67.5703125" style="5" bestFit="1" customWidth="1"/>
    <col min="8714" max="8714" width="28.140625" style="5" bestFit="1" customWidth="1"/>
    <col min="8715" max="8715" width="11.85546875" style="5" bestFit="1" customWidth="1"/>
    <col min="8716" max="8716" width="12.85546875" style="5" bestFit="1" customWidth="1"/>
    <col min="8717" max="8717" width="10.140625" style="5" bestFit="1" customWidth="1"/>
    <col min="8718" max="8718" width="10.85546875" style="5" bestFit="1" customWidth="1"/>
    <col min="8719" max="8719" width="15.140625" style="5" bestFit="1" customWidth="1"/>
    <col min="8720" max="8720" width="9.5703125" style="5" bestFit="1" customWidth="1"/>
    <col min="8721" max="8721" width="11.42578125" style="5" bestFit="1"/>
    <col min="8722" max="8722" width="14.28515625" style="5" bestFit="1" customWidth="1"/>
    <col min="8723" max="8723" width="252" style="5" bestFit="1" customWidth="1"/>
    <col min="8724" max="8724" width="67.28515625" style="5" bestFit="1" customWidth="1"/>
    <col min="8725" max="8725" width="26.5703125" style="5" bestFit="1" customWidth="1"/>
    <col min="8726" max="8726" width="67.28515625" style="5" bestFit="1" customWidth="1"/>
    <col min="8727" max="8727" width="11.7109375" style="5" bestFit="1" customWidth="1"/>
    <col min="8728" max="8728" width="14.42578125" style="5" bestFit="1" customWidth="1"/>
    <col min="8729" max="8729" width="33.28515625" style="5" bestFit="1" customWidth="1"/>
    <col min="8730" max="8730" width="9.28515625" style="5" bestFit="1" customWidth="1"/>
    <col min="8731" max="8731" width="12.42578125" style="5" bestFit="1" customWidth="1"/>
    <col min="8732" max="8732" width="11.42578125" style="5" bestFit="1"/>
    <col min="8733" max="8960" width="11.42578125" style="5"/>
    <col min="8961" max="8961" width="4.7109375" style="5" bestFit="1" customWidth="1"/>
    <col min="8962" max="8965" width="4.42578125" style="5" customWidth="1"/>
    <col min="8966" max="8966" width="10.5703125" style="5" bestFit="1" customWidth="1"/>
    <col min="8967" max="8967" width="13.28515625" style="5" bestFit="1" customWidth="1"/>
    <col min="8968" max="8968" width="8" style="5" bestFit="1" customWidth="1"/>
    <col min="8969" max="8969" width="67.5703125" style="5" bestFit="1" customWidth="1"/>
    <col min="8970" max="8970" width="28.140625" style="5" bestFit="1" customWidth="1"/>
    <col min="8971" max="8971" width="11.85546875" style="5" bestFit="1" customWidth="1"/>
    <col min="8972" max="8972" width="12.85546875" style="5" bestFit="1" customWidth="1"/>
    <col min="8973" max="8973" width="10.140625" style="5" bestFit="1" customWidth="1"/>
    <col min="8974" max="8974" width="10.85546875" style="5" bestFit="1" customWidth="1"/>
    <col min="8975" max="8975" width="15.140625" style="5" bestFit="1" customWidth="1"/>
    <col min="8976" max="8976" width="9.5703125" style="5" bestFit="1" customWidth="1"/>
    <col min="8977" max="8977" width="11.42578125" style="5" bestFit="1"/>
    <col min="8978" max="8978" width="14.28515625" style="5" bestFit="1" customWidth="1"/>
    <col min="8979" max="8979" width="252" style="5" bestFit="1" customWidth="1"/>
    <col min="8980" max="8980" width="67.28515625" style="5" bestFit="1" customWidth="1"/>
    <col min="8981" max="8981" width="26.5703125" style="5" bestFit="1" customWidth="1"/>
    <col min="8982" max="8982" width="67.28515625" style="5" bestFit="1" customWidth="1"/>
    <col min="8983" max="8983" width="11.7109375" style="5" bestFit="1" customWidth="1"/>
    <col min="8984" max="8984" width="14.42578125" style="5" bestFit="1" customWidth="1"/>
    <col min="8985" max="8985" width="33.28515625" style="5" bestFit="1" customWidth="1"/>
    <col min="8986" max="8986" width="9.28515625" style="5" bestFit="1" customWidth="1"/>
    <col min="8987" max="8987" width="12.42578125" style="5" bestFit="1" customWidth="1"/>
    <col min="8988" max="8988" width="11.42578125" style="5" bestFit="1"/>
    <col min="8989" max="9216" width="11.42578125" style="5"/>
    <col min="9217" max="9217" width="4.7109375" style="5" bestFit="1" customWidth="1"/>
    <col min="9218" max="9221" width="4.42578125" style="5" customWidth="1"/>
    <col min="9222" max="9222" width="10.5703125" style="5" bestFit="1" customWidth="1"/>
    <col min="9223" max="9223" width="13.28515625" style="5" bestFit="1" customWidth="1"/>
    <col min="9224" max="9224" width="8" style="5" bestFit="1" customWidth="1"/>
    <col min="9225" max="9225" width="67.5703125" style="5" bestFit="1" customWidth="1"/>
    <col min="9226" max="9226" width="28.140625" style="5" bestFit="1" customWidth="1"/>
    <col min="9227" max="9227" width="11.85546875" style="5" bestFit="1" customWidth="1"/>
    <col min="9228" max="9228" width="12.85546875" style="5" bestFit="1" customWidth="1"/>
    <col min="9229" max="9229" width="10.140625" style="5" bestFit="1" customWidth="1"/>
    <col min="9230" max="9230" width="10.85546875" style="5" bestFit="1" customWidth="1"/>
    <col min="9231" max="9231" width="15.140625" style="5" bestFit="1" customWidth="1"/>
    <col min="9232" max="9232" width="9.5703125" style="5" bestFit="1" customWidth="1"/>
    <col min="9233" max="9233" width="11.42578125" style="5" bestFit="1"/>
    <col min="9234" max="9234" width="14.28515625" style="5" bestFit="1" customWidth="1"/>
    <col min="9235" max="9235" width="252" style="5" bestFit="1" customWidth="1"/>
    <col min="9236" max="9236" width="67.28515625" style="5" bestFit="1" customWidth="1"/>
    <col min="9237" max="9237" width="26.5703125" style="5" bestFit="1" customWidth="1"/>
    <col min="9238" max="9238" width="67.28515625" style="5" bestFit="1" customWidth="1"/>
    <col min="9239" max="9239" width="11.7109375" style="5" bestFit="1" customWidth="1"/>
    <col min="9240" max="9240" width="14.42578125" style="5" bestFit="1" customWidth="1"/>
    <col min="9241" max="9241" width="33.28515625" style="5" bestFit="1" customWidth="1"/>
    <col min="9242" max="9242" width="9.28515625" style="5" bestFit="1" customWidth="1"/>
    <col min="9243" max="9243" width="12.42578125" style="5" bestFit="1" customWidth="1"/>
    <col min="9244" max="9244" width="11.42578125" style="5" bestFit="1"/>
    <col min="9245" max="9472" width="11.42578125" style="5"/>
    <col min="9473" max="9473" width="4.7109375" style="5" bestFit="1" customWidth="1"/>
    <col min="9474" max="9477" width="4.42578125" style="5" customWidth="1"/>
    <col min="9478" max="9478" width="10.5703125" style="5" bestFit="1" customWidth="1"/>
    <col min="9479" max="9479" width="13.28515625" style="5" bestFit="1" customWidth="1"/>
    <col min="9480" max="9480" width="8" style="5" bestFit="1" customWidth="1"/>
    <col min="9481" max="9481" width="67.5703125" style="5" bestFit="1" customWidth="1"/>
    <col min="9482" max="9482" width="28.140625" style="5" bestFit="1" customWidth="1"/>
    <col min="9483" max="9483" width="11.85546875" style="5" bestFit="1" customWidth="1"/>
    <col min="9484" max="9484" width="12.85546875" style="5" bestFit="1" customWidth="1"/>
    <col min="9485" max="9485" width="10.140625" style="5" bestFit="1" customWidth="1"/>
    <col min="9486" max="9486" width="10.85546875" style="5" bestFit="1" customWidth="1"/>
    <col min="9487" max="9487" width="15.140625" style="5" bestFit="1" customWidth="1"/>
    <col min="9488" max="9488" width="9.5703125" style="5" bestFit="1" customWidth="1"/>
    <col min="9489" max="9489" width="11.42578125" style="5" bestFit="1"/>
    <col min="9490" max="9490" width="14.28515625" style="5" bestFit="1" customWidth="1"/>
    <col min="9491" max="9491" width="252" style="5" bestFit="1" customWidth="1"/>
    <col min="9492" max="9492" width="67.28515625" style="5" bestFit="1" customWidth="1"/>
    <col min="9493" max="9493" width="26.5703125" style="5" bestFit="1" customWidth="1"/>
    <col min="9494" max="9494" width="67.28515625" style="5" bestFit="1" customWidth="1"/>
    <col min="9495" max="9495" width="11.7109375" style="5" bestFit="1" customWidth="1"/>
    <col min="9496" max="9496" width="14.42578125" style="5" bestFit="1" customWidth="1"/>
    <col min="9497" max="9497" width="33.28515625" style="5" bestFit="1" customWidth="1"/>
    <col min="9498" max="9498" width="9.28515625" style="5" bestFit="1" customWidth="1"/>
    <col min="9499" max="9499" width="12.42578125" style="5" bestFit="1" customWidth="1"/>
    <col min="9500" max="9500" width="11.42578125" style="5" bestFit="1"/>
    <col min="9501" max="9728" width="11.42578125" style="5"/>
    <col min="9729" max="9729" width="4.7109375" style="5" bestFit="1" customWidth="1"/>
    <col min="9730" max="9733" width="4.42578125" style="5" customWidth="1"/>
    <col min="9734" max="9734" width="10.5703125" style="5" bestFit="1" customWidth="1"/>
    <col min="9735" max="9735" width="13.28515625" style="5" bestFit="1" customWidth="1"/>
    <col min="9736" max="9736" width="8" style="5" bestFit="1" customWidth="1"/>
    <col min="9737" max="9737" width="67.5703125" style="5" bestFit="1" customWidth="1"/>
    <col min="9738" max="9738" width="28.140625" style="5" bestFit="1" customWidth="1"/>
    <col min="9739" max="9739" width="11.85546875" style="5" bestFit="1" customWidth="1"/>
    <col min="9740" max="9740" width="12.85546875" style="5" bestFit="1" customWidth="1"/>
    <col min="9741" max="9741" width="10.140625" style="5" bestFit="1" customWidth="1"/>
    <col min="9742" max="9742" width="10.85546875" style="5" bestFit="1" customWidth="1"/>
    <col min="9743" max="9743" width="15.140625" style="5" bestFit="1" customWidth="1"/>
    <col min="9744" max="9744" width="9.5703125" style="5" bestFit="1" customWidth="1"/>
    <col min="9745" max="9745" width="11.42578125" style="5" bestFit="1"/>
    <col min="9746" max="9746" width="14.28515625" style="5" bestFit="1" customWidth="1"/>
    <col min="9747" max="9747" width="252" style="5" bestFit="1" customWidth="1"/>
    <col min="9748" max="9748" width="67.28515625" style="5" bestFit="1" customWidth="1"/>
    <col min="9749" max="9749" width="26.5703125" style="5" bestFit="1" customWidth="1"/>
    <col min="9750" max="9750" width="67.28515625" style="5" bestFit="1" customWidth="1"/>
    <col min="9751" max="9751" width="11.7109375" style="5" bestFit="1" customWidth="1"/>
    <col min="9752" max="9752" width="14.42578125" style="5" bestFit="1" customWidth="1"/>
    <col min="9753" max="9753" width="33.28515625" style="5" bestFit="1" customWidth="1"/>
    <col min="9754" max="9754" width="9.28515625" style="5" bestFit="1" customWidth="1"/>
    <col min="9755" max="9755" width="12.42578125" style="5" bestFit="1" customWidth="1"/>
    <col min="9756" max="9756" width="11.42578125" style="5" bestFit="1"/>
    <col min="9757" max="9984" width="11.42578125" style="5"/>
    <col min="9985" max="9985" width="4.7109375" style="5" bestFit="1" customWidth="1"/>
    <col min="9986" max="9989" width="4.42578125" style="5" customWidth="1"/>
    <col min="9990" max="9990" width="10.5703125" style="5" bestFit="1" customWidth="1"/>
    <col min="9991" max="9991" width="13.28515625" style="5" bestFit="1" customWidth="1"/>
    <col min="9992" max="9992" width="8" style="5" bestFit="1" customWidth="1"/>
    <col min="9993" max="9993" width="67.5703125" style="5" bestFit="1" customWidth="1"/>
    <col min="9994" max="9994" width="28.140625" style="5" bestFit="1" customWidth="1"/>
    <col min="9995" max="9995" width="11.85546875" style="5" bestFit="1" customWidth="1"/>
    <col min="9996" max="9996" width="12.85546875" style="5" bestFit="1" customWidth="1"/>
    <col min="9997" max="9997" width="10.140625" style="5" bestFit="1" customWidth="1"/>
    <col min="9998" max="9998" width="10.85546875" style="5" bestFit="1" customWidth="1"/>
    <col min="9999" max="9999" width="15.140625" style="5" bestFit="1" customWidth="1"/>
    <col min="10000" max="10000" width="9.5703125" style="5" bestFit="1" customWidth="1"/>
    <col min="10001" max="10001" width="11.42578125" style="5" bestFit="1"/>
    <col min="10002" max="10002" width="14.28515625" style="5" bestFit="1" customWidth="1"/>
    <col min="10003" max="10003" width="252" style="5" bestFit="1" customWidth="1"/>
    <col min="10004" max="10004" width="67.28515625" style="5" bestFit="1" customWidth="1"/>
    <col min="10005" max="10005" width="26.5703125" style="5" bestFit="1" customWidth="1"/>
    <col min="10006" max="10006" width="67.28515625" style="5" bestFit="1" customWidth="1"/>
    <col min="10007" max="10007" width="11.7109375" style="5" bestFit="1" customWidth="1"/>
    <col min="10008" max="10008" width="14.42578125" style="5" bestFit="1" customWidth="1"/>
    <col min="10009" max="10009" width="33.28515625" style="5" bestFit="1" customWidth="1"/>
    <col min="10010" max="10010" width="9.28515625" style="5" bestFit="1" customWidth="1"/>
    <col min="10011" max="10011" width="12.42578125" style="5" bestFit="1" customWidth="1"/>
    <col min="10012" max="10012" width="11.42578125" style="5" bestFit="1"/>
    <col min="10013" max="10240" width="11.42578125" style="5"/>
    <col min="10241" max="10241" width="4.7109375" style="5" bestFit="1" customWidth="1"/>
    <col min="10242" max="10245" width="4.42578125" style="5" customWidth="1"/>
    <col min="10246" max="10246" width="10.5703125" style="5" bestFit="1" customWidth="1"/>
    <col min="10247" max="10247" width="13.28515625" style="5" bestFit="1" customWidth="1"/>
    <col min="10248" max="10248" width="8" style="5" bestFit="1" customWidth="1"/>
    <col min="10249" max="10249" width="67.5703125" style="5" bestFit="1" customWidth="1"/>
    <col min="10250" max="10250" width="28.140625" style="5" bestFit="1" customWidth="1"/>
    <col min="10251" max="10251" width="11.85546875" style="5" bestFit="1" customWidth="1"/>
    <col min="10252" max="10252" width="12.85546875" style="5" bestFit="1" customWidth="1"/>
    <col min="10253" max="10253" width="10.140625" style="5" bestFit="1" customWidth="1"/>
    <col min="10254" max="10254" width="10.85546875" style="5" bestFit="1" customWidth="1"/>
    <col min="10255" max="10255" width="15.140625" style="5" bestFit="1" customWidth="1"/>
    <col min="10256" max="10256" width="9.5703125" style="5" bestFit="1" customWidth="1"/>
    <col min="10257" max="10257" width="11.42578125" style="5" bestFit="1"/>
    <col min="10258" max="10258" width="14.28515625" style="5" bestFit="1" customWidth="1"/>
    <col min="10259" max="10259" width="252" style="5" bestFit="1" customWidth="1"/>
    <col min="10260" max="10260" width="67.28515625" style="5" bestFit="1" customWidth="1"/>
    <col min="10261" max="10261" width="26.5703125" style="5" bestFit="1" customWidth="1"/>
    <col min="10262" max="10262" width="67.28515625" style="5" bestFit="1" customWidth="1"/>
    <col min="10263" max="10263" width="11.7109375" style="5" bestFit="1" customWidth="1"/>
    <col min="10264" max="10264" width="14.42578125" style="5" bestFit="1" customWidth="1"/>
    <col min="10265" max="10265" width="33.28515625" style="5" bestFit="1" customWidth="1"/>
    <col min="10266" max="10266" width="9.28515625" style="5" bestFit="1" customWidth="1"/>
    <col min="10267" max="10267" width="12.42578125" style="5" bestFit="1" customWidth="1"/>
    <col min="10268" max="10268" width="11.42578125" style="5" bestFit="1"/>
    <col min="10269" max="10496" width="11.42578125" style="5"/>
    <col min="10497" max="10497" width="4.7109375" style="5" bestFit="1" customWidth="1"/>
    <col min="10498" max="10501" width="4.42578125" style="5" customWidth="1"/>
    <col min="10502" max="10502" width="10.5703125" style="5" bestFit="1" customWidth="1"/>
    <col min="10503" max="10503" width="13.28515625" style="5" bestFit="1" customWidth="1"/>
    <col min="10504" max="10504" width="8" style="5" bestFit="1" customWidth="1"/>
    <col min="10505" max="10505" width="67.5703125" style="5" bestFit="1" customWidth="1"/>
    <col min="10506" max="10506" width="28.140625" style="5" bestFit="1" customWidth="1"/>
    <col min="10507" max="10507" width="11.85546875" style="5" bestFit="1" customWidth="1"/>
    <col min="10508" max="10508" width="12.85546875" style="5" bestFit="1" customWidth="1"/>
    <col min="10509" max="10509" width="10.140625" style="5" bestFit="1" customWidth="1"/>
    <col min="10510" max="10510" width="10.85546875" style="5" bestFit="1" customWidth="1"/>
    <col min="10511" max="10511" width="15.140625" style="5" bestFit="1" customWidth="1"/>
    <col min="10512" max="10512" width="9.5703125" style="5" bestFit="1" customWidth="1"/>
    <col min="10513" max="10513" width="11.42578125" style="5" bestFit="1"/>
    <col min="10514" max="10514" width="14.28515625" style="5" bestFit="1" customWidth="1"/>
    <col min="10515" max="10515" width="252" style="5" bestFit="1" customWidth="1"/>
    <col min="10516" max="10516" width="67.28515625" style="5" bestFit="1" customWidth="1"/>
    <col min="10517" max="10517" width="26.5703125" style="5" bestFit="1" customWidth="1"/>
    <col min="10518" max="10518" width="67.28515625" style="5" bestFit="1" customWidth="1"/>
    <col min="10519" max="10519" width="11.7109375" style="5" bestFit="1" customWidth="1"/>
    <col min="10520" max="10520" width="14.42578125" style="5" bestFit="1" customWidth="1"/>
    <col min="10521" max="10521" width="33.28515625" style="5" bestFit="1" customWidth="1"/>
    <col min="10522" max="10522" width="9.28515625" style="5" bestFit="1" customWidth="1"/>
    <col min="10523" max="10523" width="12.42578125" style="5" bestFit="1" customWidth="1"/>
    <col min="10524" max="10524" width="11.42578125" style="5" bestFit="1"/>
    <col min="10525" max="10752" width="11.42578125" style="5"/>
    <col min="10753" max="10753" width="4.7109375" style="5" bestFit="1" customWidth="1"/>
    <col min="10754" max="10757" width="4.42578125" style="5" customWidth="1"/>
    <col min="10758" max="10758" width="10.5703125" style="5" bestFit="1" customWidth="1"/>
    <col min="10759" max="10759" width="13.28515625" style="5" bestFit="1" customWidth="1"/>
    <col min="10760" max="10760" width="8" style="5" bestFit="1" customWidth="1"/>
    <col min="10761" max="10761" width="67.5703125" style="5" bestFit="1" customWidth="1"/>
    <col min="10762" max="10762" width="28.140625" style="5" bestFit="1" customWidth="1"/>
    <col min="10763" max="10763" width="11.85546875" style="5" bestFit="1" customWidth="1"/>
    <col min="10764" max="10764" width="12.85546875" style="5" bestFit="1" customWidth="1"/>
    <col min="10765" max="10765" width="10.140625" style="5" bestFit="1" customWidth="1"/>
    <col min="10766" max="10766" width="10.85546875" style="5" bestFit="1" customWidth="1"/>
    <col min="10767" max="10767" width="15.140625" style="5" bestFit="1" customWidth="1"/>
    <col min="10768" max="10768" width="9.5703125" style="5" bestFit="1" customWidth="1"/>
    <col min="10769" max="10769" width="11.42578125" style="5" bestFit="1"/>
    <col min="10770" max="10770" width="14.28515625" style="5" bestFit="1" customWidth="1"/>
    <col min="10771" max="10771" width="252" style="5" bestFit="1" customWidth="1"/>
    <col min="10772" max="10772" width="67.28515625" style="5" bestFit="1" customWidth="1"/>
    <col min="10773" max="10773" width="26.5703125" style="5" bestFit="1" customWidth="1"/>
    <col min="10774" max="10774" width="67.28515625" style="5" bestFit="1" customWidth="1"/>
    <col min="10775" max="10775" width="11.7109375" style="5" bestFit="1" customWidth="1"/>
    <col min="10776" max="10776" width="14.42578125" style="5" bestFit="1" customWidth="1"/>
    <col min="10777" max="10777" width="33.28515625" style="5" bestFit="1" customWidth="1"/>
    <col min="10778" max="10778" width="9.28515625" style="5" bestFit="1" customWidth="1"/>
    <col min="10779" max="10779" width="12.42578125" style="5" bestFit="1" customWidth="1"/>
    <col min="10780" max="10780" width="11.42578125" style="5" bestFit="1"/>
    <col min="10781" max="11008" width="11.42578125" style="5"/>
    <col min="11009" max="11009" width="4.7109375" style="5" bestFit="1" customWidth="1"/>
    <col min="11010" max="11013" width="4.42578125" style="5" customWidth="1"/>
    <col min="11014" max="11014" width="10.5703125" style="5" bestFit="1" customWidth="1"/>
    <col min="11015" max="11015" width="13.28515625" style="5" bestFit="1" customWidth="1"/>
    <col min="11016" max="11016" width="8" style="5" bestFit="1" customWidth="1"/>
    <col min="11017" max="11017" width="67.5703125" style="5" bestFit="1" customWidth="1"/>
    <col min="11018" max="11018" width="28.140625" style="5" bestFit="1" customWidth="1"/>
    <col min="11019" max="11019" width="11.85546875" style="5" bestFit="1" customWidth="1"/>
    <col min="11020" max="11020" width="12.85546875" style="5" bestFit="1" customWidth="1"/>
    <col min="11021" max="11021" width="10.140625" style="5" bestFit="1" customWidth="1"/>
    <col min="11022" max="11022" width="10.85546875" style="5" bestFit="1" customWidth="1"/>
    <col min="11023" max="11023" width="15.140625" style="5" bestFit="1" customWidth="1"/>
    <col min="11024" max="11024" width="9.5703125" style="5" bestFit="1" customWidth="1"/>
    <col min="11025" max="11025" width="11.42578125" style="5" bestFit="1"/>
    <col min="11026" max="11026" width="14.28515625" style="5" bestFit="1" customWidth="1"/>
    <col min="11027" max="11027" width="252" style="5" bestFit="1" customWidth="1"/>
    <col min="11028" max="11028" width="67.28515625" style="5" bestFit="1" customWidth="1"/>
    <col min="11029" max="11029" width="26.5703125" style="5" bestFit="1" customWidth="1"/>
    <col min="11030" max="11030" width="67.28515625" style="5" bestFit="1" customWidth="1"/>
    <col min="11031" max="11031" width="11.7109375" style="5" bestFit="1" customWidth="1"/>
    <col min="11032" max="11032" width="14.42578125" style="5" bestFit="1" customWidth="1"/>
    <col min="11033" max="11033" width="33.28515625" style="5" bestFit="1" customWidth="1"/>
    <col min="11034" max="11034" width="9.28515625" style="5" bestFit="1" customWidth="1"/>
    <col min="11035" max="11035" width="12.42578125" style="5" bestFit="1" customWidth="1"/>
    <col min="11036" max="11036" width="11.42578125" style="5" bestFit="1"/>
    <col min="11037" max="11264" width="11.42578125" style="5"/>
    <col min="11265" max="11265" width="4.7109375" style="5" bestFit="1" customWidth="1"/>
    <col min="11266" max="11269" width="4.42578125" style="5" customWidth="1"/>
    <col min="11270" max="11270" width="10.5703125" style="5" bestFit="1" customWidth="1"/>
    <col min="11271" max="11271" width="13.28515625" style="5" bestFit="1" customWidth="1"/>
    <col min="11272" max="11272" width="8" style="5" bestFit="1" customWidth="1"/>
    <col min="11273" max="11273" width="67.5703125" style="5" bestFit="1" customWidth="1"/>
    <col min="11274" max="11274" width="28.140625" style="5" bestFit="1" customWidth="1"/>
    <col min="11275" max="11275" width="11.85546875" style="5" bestFit="1" customWidth="1"/>
    <col min="11276" max="11276" width="12.85546875" style="5" bestFit="1" customWidth="1"/>
    <col min="11277" max="11277" width="10.140625" style="5" bestFit="1" customWidth="1"/>
    <col min="11278" max="11278" width="10.85546875" style="5" bestFit="1" customWidth="1"/>
    <col min="11279" max="11279" width="15.140625" style="5" bestFit="1" customWidth="1"/>
    <col min="11280" max="11280" width="9.5703125" style="5" bestFit="1" customWidth="1"/>
    <col min="11281" max="11281" width="11.42578125" style="5" bestFit="1"/>
    <col min="11282" max="11282" width="14.28515625" style="5" bestFit="1" customWidth="1"/>
    <col min="11283" max="11283" width="252" style="5" bestFit="1" customWidth="1"/>
    <col min="11284" max="11284" width="67.28515625" style="5" bestFit="1" customWidth="1"/>
    <col min="11285" max="11285" width="26.5703125" style="5" bestFit="1" customWidth="1"/>
    <col min="11286" max="11286" width="67.28515625" style="5" bestFit="1" customWidth="1"/>
    <col min="11287" max="11287" width="11.7109375" style="5" bestFit="1" customWidth="1"/>
    <col min="11288" max="11288" width="14.42578125" style="5" bestFit="1" customWidth="1"/>
    <col min="11289" max="11289" width="33.28515625" style="5" bestFit="1" customWidth="1"/>
    <col min="11290" max="11290" width="9.28515625" style="5" bestFit="1" customWidth="1"/>
    <col min="11291" max="11291" width="12.42578125" style="5" bestFit="1" customWidth="1"/>
    <col min="11292" max="11292" width="11.42578125" style="5" bestFit="1"/>
    <col min="11293" max="11520" width="11.42578125" style="5"/>
    <col min="11521" max="11521" width="4.7109375" style="5" bestFit="1" customWidth="1"/>
    <col min="11522" max="11525" width="4.42578125" style="5" customWidth="1"/>
    <col min="11526" max="11526" width="10.5703125" style="5" bestFit="1" customWidth="1"/>
    <col min="11527" max="11527" width="13.28515625" style="5" bestFit="1" customWidth="1"/>
    <col min="11528" max="11528" width="8" style="5" bestFit="1" customWidth="1"/>
    <col min="11529" max="11529" width="67.5703125" style="5" bestFit="1" customWidth="1"/>
    <col min="11530" max="11530" width="28.140625" style="5" bestFit="1" customWidth="1"/>
    <col min="11531" max="11531" width="11.85546875" style="5" bestFit="1" customWidth="1"/>
    <col min="11532" max="11532" width="12.85546875" style="5" bestFit="1" customWidth="1"/>
    <col min="11533" max="11533" width="10.140625" style="5" bestFit="1" customWidth="1"/>
    <col min="11534" max="11534" width="10.85546875" style="5" bestFit="1" customWidth="1"/>
    <col min="11535" max="11535" width="15.140625" style="5" bestFit="1" customWidth="1"/>
    <col min="11536" max="11536" width="9.5703125" style="5" bestFit="1" customWidth="1"/>
    <col min="11537" max="11537" width="11.42578125" style="5" bestFit="1"/>
    <col min="11538" max="11538" width="14.28515625" style="5" bestFit="1" customWidth="1"/>
    <col min="11539" max="11539" width="252" style="5" bestFit="1" customWidth="1"/>
    <col min="11540" max="11540" width="67.28515625" style="5" bestFit="1" customWidth="1"/>
    <col min="11541" max="11541" width="26.5703125" style="5" bestFit="1" customWidth="1"/>
    <col min="11542" max="11542" width="67.28515625" style="5" bestFit="1" customWidth="1"/>
    <col min="11543" max="11543" width="11.7109375" style="5" bestFit="1" customWidth="1"/>
    <col min="11544" max="11544" width="14.42578125" style="5" bestFit="1" customWidth="1"/>
    <col min="11545" max="11545" width="33.28515625" style="5" bestFit="1" customWidth="1"/>
    <col min="11546" max="11546" width="9.28515625" style="5" bestFit="1" customWidth="1"/>
    <col min="11547" max="11547" width="12.42578125" style="5" bestFit="1" customWidth="1"/>
    <col min="11548" max="11548" width="11.42578125" style="5" bestFit="1"/>
    <col min="11549" max="11776" width="11.42578125" style="5"/>
    <col min="11777" max="11777" width="4.7109375" style="5" bestFit="1" customWidth="1"/>
    <col min="11778" max="11781" width="4.42578125" style="5" customWidth="1"/>
    <col min="11782" max="11782" width="10.5703125" style="5" bestFit="1" customWidth="1"/>
    <col min="11783" max="11783" width="13.28515625" style="5" bestFit="1" customWidth="1"/>
    <col min="11784" max="11784" width="8" style="5" bestFit="1" customWidth="1"/>
    <col min="11785" max="11785" width="67.5703125" style="5" bestFit="1" customWidth="1"/>
    <col min="11786" max="11786" width="28.140625" style="5" bestFit="1" customWidth="1"/>
    <col min="11787" max="11787" width="11.85546875" style="5" bestFit="1" customWidth="1"/>
    <col min="11788" max="11788" width="12.85546875" style="5" bestFit="1" customWidth="1"/>
    <col min="11789" max="11789" width="10.140625" style="5" bestFit="1" customWidth="1"/>
    <col min="11790" max="11790" width="10.85546875" style="5" bestFit="1" customWidth="1"/>
    <col min="11791" max="11791" width="15.140625" style="5" bestFit="1" customWidth="1"/>
    <col min="11792" max="11792" width="9.5703125" style="5" bestFit="1" customWidth="1"/>
    <col min="11793" max="11793" width="11.42578125" style="5" bestFit="1"/>
    <col min="11794" max="11794" width="14.28515625" style="5" bestFit="1" customWidth="1"/>
    <col min="11795" max="11795" width="252" style="5" bestFit="1" customWidth="1"/>
    <col min="11796" max="11796" width="67.28515625" style="5" bestFit="1" customWidth="1"/>
    <col min="11797" max="11797" width="26.5703125" style="5" bestFit="1" customWidth="1"/>
    <col min="11798" max="11798" width="67.28515625" style="5" bestFit="1" customWidth="1"/>
    <col min="11799" max="11799" width="11.7109375" style="5" bestFit="1" customWidth="1"/>
    <col min="11800" max="11800" width="14.42578125" style="5" bestFit="1" customWidth="1"/>
    <col min="11801" max="11801" width="33.28515625" style="5" bestFit="1" customWidth="1"/>
    <col min="11802" max="11802" width="9.28515625" style="5" bestFit="1" customWidth="1"/>
    <col min="11803" max="11803" width="12.42578125" style="5" bestFit="1" customWidth="1"/>
    <col min="11804" max="11804" width="11.42578125" style="5" bestFit="1"/>
    <col min="11805" max="12032" width="11.42578125" style="5"/>
    <col min="12033" max="12033" width="4.7109375" style="5" bestFit="1" customWidth="1"/>
    <col min="12034" max="12037" width="4.42578125" style="5" customWidth="1"/>
    <col min="12038" max="12038" width="10.5703125" style="5" bestFit="1" customWidth="1"/>
    <col min="12039" max="12039" width="13.28515625" style="5" bestFit="1" customWidth="1"/>
    <col min="12040" max="12040" width="8" style="5" bestFit="1" customWidth="1"/>
    <col min="12041" max="12041" width="67.5703125" style="5" bestFit="1" customWidth="1"/>
    <col min="12042" max="12042" width="28.140625" style="5" bestFit="1" customWidth="1"/>
    <col min="12043" max="12043" width="11.85546875" style="5" bestFit="1" customWidth="1"/>
    <col min="12044" max="12044" width="12.85546875" style="5" bestFit="1" customWidth="1"/>
    <col min="12045" max="12045" width="10.140625" style="5" bestFit="1" customWidth="1"/>
    <col min="12046" max="12046" width="10.85546875" style="5" bestFit="1" customWidth="1"/>
    <col min="12047" max="12047" width="15.140625" style="5" bestFit="1" customWidth="1"/>
    <col min="12048" max="12048" width="9.5703125" style="5" bestFit="1" customWidth="1"/>
    <col min="12049" max="12049" width="11.42578125" style="5" bestFit="1"/>
    <col min="12050" max="12050" width="14.28515625" style="5" bestFit="1" customWidth="1"/>
    <col min="12051" max="12051" width="252" style="5" bestFit="1" customWidth="1"/>
    <col min="12052" max="12052" width="67.28515625" style="5" bestFit="1" customWidth="1"/>
    <col min="12053" max="12053" width="26.5703125" style="5" bestFit="1" customWidth="1"/>
    <col min="12054" max="12054" width="67.28515625" style="5" bestFit="1" customWidth="1"/>
    <col min="12055" max="12055" width="11.7109375" style="5" bestFit="1" customWidth="1"/>
    <col min="12056" max="12056" width="14.42578125" style="5" bestFit="1" customWidth="1"/>
    <col min="12057" max="12057" width="33.28515625" style="5" bestFit="1" customWidth="1"/>
    <col min="12058" max="12058" width="9.28515625" style="5" bestFit="1" customWidth="1"/>
    <col min="12059" max="12059" width="12.42578125" style="5" bestFit="1" customWidth="1"/>
    <col min="12060" max="12060" width="11.42578125" style="5" bestFit="1"/>
    <col min="12061" max="12288" width="11.42578125" style="5"/>
    <col min="12289" max="12289" width="4.7109375" style="5" bestFit="1" customWidth="1"/>
    <col min="12290" max="12293" width="4.42578125" style="5" customWidth="1"/>
    <col min="12294" max="12294" width="10.5703125" style="5" bestFit="1" customWidth="1"/>
    <col min="12295" max="12295" width="13.28515625" style="5" bestFit="1" customWidth="1"/>
    <col min="12296" max="12296" width="8" style="5" bestFit="1" customWidth="1"/>
    <col min="12297" max="12297" width="67.5703125" style="5" bestFit="1" customWidth="1"/>
    <col min="12298" max="12298" width="28.140625" style="5" bestFit="1" customWidth="1"/>
    <col min="12299" max="12299" width="11.85546875" style="5" bestFit="1" customWidth="1"/>
    <col min="12300" max="12300" width="12.85546875" style="5" bestFit="1" customWidth="1"/>
    <col min="12301" max="12301" width="10.140625" style="5" bestFit="1" customWidth="1"/>
    <col min="12302" max="12302" width="10.85546875" style="5" bestFit="1" customWidth="1"/>
    <col min="12303" max="12303" width="15.140625" style="5" bestFit="1" customWidth="1"/>
    <col min="12304" max="12304" width="9.5703125" style="5" bestFit="1" customWidth="1"/>
    <col min="12305" max="12305" width="11.42578125" style="5" bestFit="1"/>
    <col min="12306" max="12306" width="14.28515625" style="5" bestFit="1" customWidth="1"/>
    <col min="12307" max="12307" width="252" style="5" bestFit="1" customWidth="1"/>
    <col min="12308" max="12308" width="67.28515625" style="5" bestFit="1" customWidth="1"/>
    <col min="12309" max="12309" width="26.5703125" style="5" bestFit="1" customWidth="1"/>
    <col min="12310" max="12310" width="67.28515625" style="5" bestFit="1" customWidth="1"/>
    <col min="12311" max="12311" width="11.7109375" style="5" bestFit="1" customWidth="1"/>
    <col min="12312" max="12312" width="14.42578125" style="5" bestFit="1" customWidth="1"/>
    <col min="12313" max="12313" width="33.28515625" style="5" bestFit="1" customWidth="1"/>
    <col min="12314" max="12314" width="9.28515625" style="5" bestFit="1" customWidth="1"/>
    <col min="12315" max="12315" width="12.42578125" style="5" bestFit="1" customWidth="1"/>
    <col min="12316" max="12316" width="11.42578125" style="5" bestFit="1"/>
    <col min="12317" max="12544" width="11.42578125" style="5"/>
    <col min="12545" max="12545" width="4.7109375" style="5" bestFit="1" customWidth="1"/>
    <col min="12546" max="12549" width="4.42578125" style="5" customWidth="1"/>
    <col min="12550" max="12550" width="10.5703125" style="5" bestFit="1" customWidth="1"/>
    <col min="12551" max="12551" width="13.28515625" style="5" bestFit="1" customWidth="1"/>
    <col min="12552" max="12552" width="8" style="5" bestFit="1" customWidth="1"/>
    <col min="12553" max="12553" width="67.5703125" style="5" bestFit="1" customWidth="1"/>
    <col min="12554" max="12554" width="28.140625" style="5" bestFit="1" customWidth="1"/>
    <col min="12555" max="12555" width="11.85546875" style="5" bestFit="1" customWidth="1"/>
    <col min="12556" max="12556" width="12.85546875" style="5" bestFit="1" customWidth="1"/>
    <col min="12557" max="12557" width="10.140625" style="5" bestFit="1" customWidth="1"/>
    <col min="12558" max="12558" width="10.85546875" style="5" bestFit="1" customWidth="1"/>
    <col min="12559" max="12559" width="15.140625" style="5" bestFit="1" customWidth="1"/>
    <col min="12560" max="12560" width="9.5703125" style="5" bestFit="1" customWidth="1"/>
    <col min="12561" max="12561" width="11.42578125" style="5" bestFit="1"/>
    <col min="12562" max="12562" width="14.28515625" style="5" bestFit="1" customWidth="1"/>
    <col min="12563" max="12563" width="252" style="5" bestFit="1" customWidth="1"/>
    <col min="12564" max="12564" width="67.28515625" style="5" bestFit="1" customWidth="1"/>
    <col min="12565" max="12565" width="26.5703125" style="5" bestFit="1" customWidth="1"/>
    <col min="12566" max="12566" width="67.28515625" style="5" bestFit="1" customWidth="1"/>
    <col min="12567" max="12567" width="11.7109375" style="5" bestFit="1" customWidth="1"/>
    <col min="12568" max="12568" width="14.42578125" style="5" bestFit="1" customWidth="1"/>
    <col min="12569" max="12569" width="33.28515625" style="5" bestFit="1" customWidth="1"/>
    <col min="12570" max="12570" width="9.28515625" style="5" bestFit="1" customWidth="1"/>
    <col min="12571" max="12571" width="12.42578125" style="5" bestFit="1" customWidth="1"/>
    <col min="12572" max="12572" width="11.42578125" style="5" bestFit="1"/>
    <col min="12573" max="12800" width="11.42578125" style="5"/>
    <col min="12801" max="12801" width="4.7109375" style="5" bestFit="1" customWidth="1"/>
    <col min="12802" max="12805" width="4.42578125" style="5" customWidth="1"/>
    <col min="12806" max="12806" width="10.5703125" style="5" bestFit="1" customWidth="1"/>
    <col min="12807" max="12807" width="13.28515625" style="5" bestFit="1" customWidth="1"/>
    <col min="12808" max="12808" width="8" style="5" bestFit="1" customWidth="1"/>
    <col min="12809" max="12809" width="67.5703125" style="5" bestFit="1" customWidth="1"/>
    <col min="12810" max="12810" width="28.140625" style="5" bestFit="1" customWidth="1"/>
    <col min="12811" max="12811" width="11.85546875" style="5" bestFit="1" customWidth="1"/>
    <col min="12812" max="12812" width="12.85546875" style="5" bestFit="1" customWidth="1"/>
    <col min="12813" max="12813" width="10.140625" style="5" bestFit="1" customWidth="1"/>
    <col min="12814" max="12814" width="10.85546875" style="5" bestFit="1" customWidth="1"/>
    <col min="12815" max="12815" width="15.140625" style="5" bestFit="1" customWidth="1"/>
    <col min="12816" max="12816" width="9.5703125" style="5" bestFit="1" customWidth="1"/>
    <col min="12817" max="12817" width="11.42578125" style="5" bestFit="1"/>
    <col min="12818" max="12818" width="14.28515625" style="5" bestFit="1" customWidth="1"/>
    <col min="12819" max="12819" width="252" style="5" bestFit="1" customWidth="1"/>
    <col min="12820" max="12820" width="67.28515625" style="5" bestFit="1" customWidth="1"/>
    <col min="12821" max="12821" width="26.5703125" style="5" bestFit="1" customWidth="1"/>
    <col min="12822" max="12822" width="67.28515625" style="5" bestFit="1" customWidth="1"/>
    <col min="12823" max="12823" width="11.7109375" style="5" bestFit="1" customWidth="1"/>
    <col min="12824" max="12824" width="14.42578125" style="5" bestFit="1" customWidth="1"/>
    <col min="12825" max="12825" width="33.28515625" style="5" bestFit="1" customWidth="1"/>
    <col min="12826" max="12826" width="9.28515625" style="5" bestFit="1" customWidth="1"/>
    <col min="12827" max="12827" width="12.42578125" style="5" bestFit="1" customWidth="1"/>
    <col min="12828" max="12828" width="11.42578125" style="5" bestFit="1"/>
    <col min="12829" max="13056" width="11.42578125" style="5"/>
    <col min="13057" max="13057" width="4.7109375" style="5" bestFit="1" customWidth="1"/>
    <col min="13058" max="13061" width="4.42578125" style="5" customWidth="1"/>
    <col min="13062" max="13062" width="10.5703125" style="5" bestFit="1" customWidth="1"/>
    <col min="13063" max="13063" width="13.28515625" style="5" bestFit="1" customWidth="1"/>
    <col min="13064" max="13064" width="8" style="5" bestFit="1" customWidth="1"/>
    <col min="13065" max="13065" width="67.5703125" style="5" bestFit="1" customWidth="1"/>
    <col min="13066" max="13066" width="28.140625" style="5" bestFit="1" customWidth="1"/>
    <col min="13067" max="13067" width="11.85546875" style="5" bestFit="1" customWidth="1"/>
    <col min="13068" max="13068" width="12.85546875" style="5" bestFit="1" customWidth="1"/>
    <col min="13069" max="13069" width="10.140625" style="5" bestFit="1" customWidth="1"/>
    <col min="13070" max="13070" width="10.85546875" style="5" bestFit="1" customWidth="1"/>
    <col min="13071" max="13071" width="15.140625" style="5" bestFit="1" customWidth="1"/>
    <col min="13072" max="13072" width="9.5703125" style="5" bestFit="1" customWidth="1"/>
    <col min="13073" max="13073" width="11.42578125" style="5" bestFit="1"/>
    <col min="13074" max="13074" width="14.28515625" style="5" bestFit="1" customWidth="1"/>
    <col min="13075" max="13075" width="252" style="5" bestFit="1" customWidth="1"/>
    <col min="13076" max="13076" width="67.28515625" style="5" bestFit="1" customWidth="1"/>
    <col min="13077" max="13077" width="26.5703125" style="5" bestFit="1" customWidth="1"/>
    <col min="13078" max="13078" width="67.28515625" style="5" bestFit="1" customWidth="1"/>
    <col min="13079" max="13079" width="11.7109375" style="5" bestFit="1" customWidth="1"/>
    <col min="13080" max="13080" width="14.42578125" style="5" bestFit="1" customWidth="1"/>
    <col min="13081" max="13081" width="33.28515625" style="5" bestFit="1" customWidth="1"/>
    <col min="13082" max="13082" width="9.28515625" style="5" bestFit="1" customWidth="1"/>
    <col min="13083" max="13083" width="12.42578125" style="5" bestFit="1" customWidth="1"/>
    <col min="13084" max="13084" width="11.42578125" style="5" bestFit="1"/>
    <col min="13085" max="13312" width="11.42578125" style="5"/>
    <col min="13313" max="13313" width="4.7109375" style="5" bestFit="1" customWidth="1"/>
    <col min="13314" max="13317" width="4.42578125" style="5" customWidth="1"/>
    <col min="13318" max="13318" width="10.5703125" style="5" bestFit="1" customWidth="1"/>
    <col min="13319" max="13319" width="13.28515625" style="5" bestFit="1" customWidth="1"/>
    <col min="13320" max="13320" width="8" style="5" bestFit="1" customWidth="1"/>
    <col min="13321" max="13321" width="67.5703125" style="5" bestFit="1" customWidth="1"/>
    <col min="13322" max="13322" width="28.140625" style="5" bestFit="1" customWidth="1"/>
    <col min="13323" max="13323" width="11.85546875" style="5" bestFit="1" customWidth="1"/>
    <col min="13324" max="13324" width="12.85546875" style="5" bestFit="1" customWidth="1"/>
    <col min="13325" max="13325" width="10.140625" style="5" bestFit="1" customWidth="1"/>
    <col min="13326" max="13326" width="10.85546875" style="5" bestFit="1" customWidth="1"/>
    <col min="13327" max="13327" width="15.140625" style="5" bestFit="1" customWidth="1"/>
    <col min="13328" max="13328" width="9.5703125" style="5" bestFit="1" customWidth="1"/>
    <col min="13329" max="13329" width="11.42578125" style="5" bestFit="1"/>
    <col min="13330" max="13330" width="14.28515625" style="5" bestFit="1" customWidth="1"/>
    <col min="13331" max="13331" width="252" style="5" bestFit="1" customWidth="1"/>
    <col min="13332" max="13332" width="67.28515625" style="5" bestFit="1" customWidth="1"/>
    <col min="13333" max="13333" width="26.5703125" style="5" bestFit="1" customWidth="1"/>
    <col min="13334" max="13334" width="67.28515625" style="5" bestFit="1" customWidth="1"/>
    <col min="13335" max="13335" width="11.7109375" style="5" bestFit="1" customWidth="1"/>
    <col min="13336" max="13336" width="14.42578125" style="5" bestFit="1" customWidth="1"/>
    <col min="13337" max="13337" width="33.28515625" style="5" bestFit="1" customWidth="1"/>
    <col min="13338" max="13338" width="9.28515625" style="5" bestFit="1" customWidth="1"/>
    <col min="13339" max="13339" width="12.42578125" style="5" bestFit="1" customWidth="1"/>
    <col min="13340" max="13340" width="11.42578125" style="5" bestFit="1"/>
    <col min="13341" max="13568" width="11.42578125" style="5"/>
    <col min="13569" max="13569" width="4.7109375" style="5" bestFit="1" customWidth="1"/>
    <col min="13570" max="13573" width="4.42578125" style="5" customWidth="1"/>
    <col min="13574" max="13574" width="10.5703125" style="5" bestFit="1" customWidth="1"/>
    <col min="13575" max="13575" width="13.28515625" style="5" bestFit="1" customWidth="1"/>
    <col min="13576" max="13576" width="8" style="5" bestFit="1" customWidth="1"/>
    <col min="13577" max="13577" width="67.5703125" style="5" bestFit="1" customWidth="1"/>
    <col min="13578" max="13578" width="28.140625" style="5" bestFit="1" customWidth="1"/>
    <col min="13579" max="13579" width="11.85546875" style="5" bestFit="1" customWidth="1"/>
    <col min="13580" max="13580" width="12.85546875" style="5" bestFit="1" customWidth="1"/>
    <col min="13581" max="13581" width="10.140625" style="5" bestFit="1" customWidth="1"/>
    <col min="13582" max="13582" width="10.85546875" style="5" bestFit="1" customWidth="1"/>
    <col min="13583" max="13583" width="15.140625" style="5" bestFit="1" customWidth="1"/>
    <col min="13584" max="13584" width="9.5703125" style="5" bestFit="1" customWidth="1"/>
    <col min="13585" max="13585" width="11.42578125" style="5" bestFit="1"/>
    <col min="13586" max="13586" width="14.28515625" style="5" bestFit="1" customWidth="1"/>
    <col min="13587" max="13587" width="252" style="5" bestFit="1" customWidth="1"/>
    <col min="13588" max="13588" width="67.28515625" style="5" bestFit="1" customWidth="1"/>
    <col min="13589" max="13589" width="26.5703125" style="5" bestFit="1" customWidth="1"/>
    <col min="13590" max="13590" width="67.28515625" style="5" bestFit="1" customWidth="1"/>
    <col min="13591" max="13591" width="11.7109375" style="5" bestFit="1" customWidth="1"/>
    <col min="13592" max="13592" width="14.42578125" style="5" bestFit="1" customWidth="1"/>
    <col min="13593" max="13593" width="33.28515625" style="5" bestFit="1" customWidth="1"/>
    <col min="13594" max="13594" width="9.28515625" style="5" bestFit="1" customWidth="1"/>
    <col min="13595" max="13595" width="12.42578125" style="5" bestFit="1" customWidth="1"/>
    <col min="13596" max="13596" width="11.42578125" style="5" bestFit="1"/>
    <col min="13597" max="13824" width="11.42578125" style="5"/>
    <col min="13825" max="13825" width="4.7109375" style="5" bestFit="1" customWidth="1"/>
    <col min="13826" max="13829" width="4.42578125" style="5" customWidth="1"/>
    <col min="13830" max="13830" width="10.5703125" style="5" bestFit="1" customWidth="1"/>
    <col min="13831" max="13831" width="13.28515625" style="5" bestFit="1" customWidth="1"/>
    <col min="13832" max="13832" width="8" style="5" bestFit="1" customWidth="1"/>
    <col min="13833" max="13833" width="67.5703125" style="5" bestFit="1" customWidth="1"/>
    <col min="13834" max="13834" width="28.140625" style="5" bestFit="1" customWidth="1"/>
    <col min="13835" max="13835" width="11.85546875" style="5" bestFit="1" customWidth="1"/>
    <col min="13836" max="13836" width="12.85546875" style="5" bestFit="1" customWidth="1"/>
    <col min="13837" max="13837" width="10.140625" style="5" bestFit="1" customWidth="1"/>
    <col min="13838" max="13838" width="10.85546875" style="5" bestFit="1" customWidth="1"/>
    <col min="13839" max="13839" width="15.140625" style="5" bestFit="1" customWidth="1"/>
    <col min="13840" max="13840" width="9.5703125" style="5" bestFit="1" customWidth="1"/>
    <col min="13841" max="13841" width="11.42578125" style="5" bestFit="1"/>
    <col min="13842" max="13842" width="14.28515625" style="5" bestFit="1" customWidth="1"/>
    <col min="13843" max="13843" width="252" style="5" bestFit="1" customWidth="1"/>
    <col min="13844" max="13844" width="67.28515625" style="5" bestFit="1" customWidth="1"/>
    <col min="13845" max="13845" width="26.5703125" style="5" bestFit="1" customWidth="1"/>
    <col min="13846" max="13846" width="67.28515625" style="5" bestFit="1" customWidth="1"/>
    <col min="13847" max="13847" width="11.7109375" style="5" bestFit="1" customWidth="1"/>
    <col min="13848" max="13848" width="14.42578125" style="5" bestFit="1" customWidth="1"/>
    <col min="13849" max="13849" width="33.28515625" style="5" bestFit="1" customWidth="1"/>
    <col min="13850" max="13850" width="9.28515625" style="5" bestFit="1" customWidth="1"/>
    <col min="13851" max="13851" width="12.42578125" style="5" bestFit="1" customWidth="1"/>
    <col min="13852" max="13852" width="11.42578125" style="5" bestFit="1"/>
    <col min="13853" max="14080" width="11.42578125" style="5"/>
    <col min="14081" max="14081" width="4.7109375" style="5" bestFit="1" customWidth="1"/>
    <col min="14082" max="14085" width="4.42578125" style="5" customWidth="1"/>
    <col min="14086" max="14086" width="10.5703125" style="5" bestFit="1" customWidth="1"/>
    <col min="14087" max="14087" width="13.28515625" style="5" bestFit="1" customWidth="1"/>
    <col min="14088" max="14088" width="8" style="5" bestFit="1" customWidth="1"/>
    <col min="14089" max="14089" width="67.5703125" style="5" bestFit="1" customWidth="1"/>
    <col min="14090" max="14090" width="28.140625" style="5" bestFit="1" customWidth="1"/>
    <col min="14091" max="14091" width="11.85546875" style="5" bestFit="1" customWidth="1"/>
    <col min="14092" max="14092" width="12.85546875" style="5" bestFit="1" customWidth="1"/>
    <col min="14093" max="14093" width="10.140625" style="5" bestFit="1" customWidth="1"/>
    <col min="14094" max="14094" width="10.85546875" style="5" bestFit="1" customWidth="1"/>
    <col min="14095" max="14095" width="15.140625" style="5" bestFit="1" customWidth="1"/>
    <col min="14096" max="14096" width="9.5703125" style="5" bestFit="1" customWidth="1"/>
    <col min="14097" max="14097" width="11.42578125" style="5" bestFit="1"/>
    <col min="14098" max="14098" width="14.28515625" style="5" bestFit="1" customWidth="1"/>
    <col min="14099" max="14099" width="252" style="5" bestFit="1" customWidth="1"/>
    <col min="14100" max="14100" width="67.28515625" style="5" bestFit="1" customWidth="1"/>
    <col min="14101" max="14101" width="26.5703125" style="5" bestFit="1" customWidth="1"/>
    <col min="14102" max="14102" width="67.28515625" style="5" bestFit="1" customWidth="1"/>
    <col min="14103" max="14103" width="11.7109375" style="5" bestFit="1" customWidth="1"/>
    <col min="14104" max="14104" width="14.42578125" style="5" bestFit="1" customWidth="1"/>
    <col min="14105" max="14105" width="33.28515625" style="5" bestFit="1" customWidth="1"/>
    <col min="14106" max="14106" width="9.28515625" style="5" bestFit="1" customWidth="1"/>
    <col min="14107" max="14107" width="12.42578125" style="5" bestFit="1" customWidth="1"/>
    <col min="14108" max="14108" width="11.42578125" style="5" bestFit="1"/>
    <col min="14109" max="14336" width="11.42578125" style="5"/>
    <col min="14337" max="14337" width="4.7109375" style="5" bestFit="1" customWidth="1"/>
    <col min="14338" max="14341" width="4.42578125" style="5" customWidth="1"/>
    <col min="14342" max="14342" width="10.5703125" style="5" bestFit="1" customWidth="1"/>
    <col min="14343" max="14343" width="13.28515625" style="5" bestFit="1" customWidth="1"/>
    <col min="14344" max="14344" width="8" style="5" bestFit="1" customWidth="1"/>
    <col min="14345" max="14345" width="67.5703125" style="5" bestFit="1" customWidth="1"/>
    <col min="14346" max="14346" width="28.140625" style="5" bestFit="1" customWidth="1"/>
    <col min="14347" max="14347" width="11.85546875" style="5" bestFit="1" customWidth="1"/>
    <col min="14348" max="14348" width="12.85546875" style="5" bestFit="1" customWidth="1"/>
    <col min="14349" max="14349" width="10.140625" style="5" bestFit="1" customWidth="1"/>
    <col min="14350" max="14350" width="10.85546875" style="5" bestFit="1" customWidth="1"/>
    <col min="14351" max="14351" width="15.140625" style="5" bestFit="1" customWidth="1"/>
    <col min="14352" max="14352" width="9.5703125" style="5" bestFit="1" customWidth="1"/>
    <col min="14353" max="14353" width="11.42578125" style="5" bestFit="1"/>
    <col min="14354" max="14354" width="14.28515625" style="5" bestFit="1" customWidth="1"/>
    <col min="14355" max="14355" width="252" style="5" bestFit="1" customWidth="1"/>
    <col min="14356" max="14356" width="67.28515625" style="5" bestFit="1" customWidth="1"/>
    <col min="14357" max="14357" width="26.5703125" style="5" bestFit="1" customWidth="1"/>
    <col min="14358" max="14358" width="67.28515625" style="5" bestFit="1" customWidth="1"/>
    <col min="14359" max="14359" width="11.7109375" style="5" bestFit="1" customWidth="1"/>
    <col min="14360" max="14360" width="14.42578125" style="5" bestFit="1" customWidth="1"/>
    <col min="14361" max="14361" width="33.28515625" style="5" bestFit="1" customWidth="1"/>
    <col min="14362" max="14362" width="9.28515625" style="5" bestFit="1" customWidth="1"/>
    <col min="14363" max="14363" width="12.42578125" style="5" bestFit="1" customWidth="1"/>
    <col min="14364" max="14364" width="11.42578125" style="5" bestFit="1"/>
    <col min="14365" max="14592" width="11.42578125" style="5"/>
    <col min="14593" max="14593" width="4.7109375" style="5" bestFit="1" customWidth="1"/>
    <col min="14594" max="14597" width="4.42578125" style="5" customWidth="1"/>
    <col min="14598" max="14598" width="10.5703125" style="5" bestFit="1" customWidth="1"/>
    <col min="14599" max="14599" width="13.28515625" style="5" bestFit="1" customWidth="1"/>
    <col min="14600" max="14600" width="8" style="5" bestFit="1" customWidth="1"/>
    <col min="14601" max="14601" width="67.5703125" style="5" bestFit="1" customWidth="1"/>
    <col min="14602" max="14602" width="28.140625" style="5" bestFit="1" customWidth="1"/>
    <col min="14603" max="14603" width="11.85546875" style="5" bestFit="1" customWidth="1"/>
    <col min="14604" max="14604" width="12.85546875" style="5" bestFit="1" customWidth="1"/>
    <col min="14605" max="14605" width="10.140625" style="5" bestFit="1" customWidth="1"/>
    <col min="14606" max="14606" width="10.85546875" style="5" bestFit="1" customWidth="1"/>
    <col min="14607" max="14607" width="15.140625" style="5" bestFit="1" customWidth="1"/>
    <col min="14608" max="14608" width="9.5703125" style="5" bestFit="1" customWidth="1"/>
    <col min="14609" max="14609" width="11.42578125" style="5" bestFit="1"/>
    <col min="14610" max="14610" width="14.28515625" style="5" bestFit="1" customWidth="1"/>
    <col min="14611" max="14611" width="252" style="5" bestFit="1" customWidth="1"/>
    <col min="14612" max="14612" width="67.28515625" style="5" bestFit="1" customWidth="1"/>
    <col min="14613" max="14613" width="26.5703125" style="5" bestFit="1" customWidth="1"/>
    <col min="14614" max="14614" width="67.28515625" style="5" bestFit="1" customWidth="1"/>
    <col min="14615" max="14615" width="11.7109375" style="5" bestFit="1" customWidth="1"/>
    <col min="14616" max="14616" width="14.42578125" style="5" bestFit="1" customWidth="1"/>
    <col min="14617" max="14617" width="33.28515625" style="5" bestFit="1" customWidth="1"/>
    <col min="14618" max="14618" width="9.28515625" style="5" bestFit="1" customWidth="1"/>
    <col min="14619" max="14619" width="12.42578125" style="5" bestFit="1" customWidth="1"/>
    <col min="14620" max="14620" width="11.42578125" style="5" bestFit="1"/>
    <col min="14621" max="14848" width="11.42578125" style="5"/>
    <col min="14849" max="14849" width="4.7109375" style="5" bestFit="1" customWidth="1"/>
    <col min="14850" max="14853" width="4.42578125" style="5" customWidth="1"/>
    <col min="14854" max="14854" width="10.5703125" style="5" bestFit="1" customWidth="1"/>
    <col min="14855" max="14855" width="13.28515625" style="5" bestFit="1" customWidth="1"/>
    <col min="14856" max="14856" width="8" style="5" bestFit="1" customWidth="1"/>
    <col min="14857" max="14857" width="67.5703125" style="5" bestFit="1" customWidth="1"/>
    <col min="14858" max="14858" width="28.140625" style="5" bestFit="1" customWidth="1"/>
    <col min="14859" max="14859" width="11.85546875" style="5" bestFit="1" customWidth="1"/>
    <col min="14860" max="14860" width="12.85546875" style="5" bestFit="1" customWidth="1"/>
    <col min="14861" max="14861" width="10.140625" style="5" bestFit="1" customWidth="1"/>
    <col min="14862" max="14862" width="10.85546875" style="5" bestFit="1" customWidth="1"/>
    <col min="14863" max="14863" width="15.140625" style="5" bestFit="1" customWidth="1"/>
    <col min="14864" max="14864" width="9.5703125" style="5" bestFit="1" customWidth="1"/>
    <col min="14865" max="14865" width="11.42578125" style="5" bestFit="1"/>
    <col min="14866" max="14866" width="14.28515625" style="5" bestFit="1" customWidth="1"/>
    <col min="14867" max="14867" width="252" style="5" bestFit="1" customWidth="1"/>
    <col min="14868" max="14868" width="67.28515625" style="5" bestFit="1" customWidth="1"/>
    <col min="14869" max="14869" width="26.5703125" style="5" bestFit="1" customWidth="1"/>
    <col min="14870" max="14870" width="67.28515625" style="5" bestFit="1" customWidth="1"/>
    <col min="14871" max="14871" width="11.7109375" style="5" bestFit="1" customWidth="1"/>
    <col min="14872" max="14872" width="14.42578125" style="5" bestFit="1" customWidth="1"/>
    <col min="14873" max="14873" width="33.28515625" style="5" bestFit="1" customWidth="1"/>
    <col min="14874" max="14874" width="9.28515625" style="5" bestFit="1" customWidth="1"/>
    <col min="14875" max="14875" width="12.42578125" style="5" bestFit="1" customWidth="1"/>
    <col min="14876" max="14876" width="11.42578125" style="5" bestFit="1"/>
    <col min="14877" max="15104" width="11.42578125" style="5"/>
    <col min="15105" max="15105" width="4.7109375" style="5" bestFit="1" customWidth="1"/>
    <col min="15106" max="15109" width="4.42578125" style="5" customWidth="1"/>
    <col min="15110" max="15110" width="10.5703125" style="5" bestFit="1" customWidth="1"/>
    <col min="15111" max="15111" width="13.28515625" style="5" bestFit="1" customWidth="1"/>
    <col min="15112" max="15112" width="8" style="5" bestFit="1" customWidth="1"/>
    <col min="15113" max="15113" width="67.5703125" style="5" bestFit="1" customWidth="1"/>
    <col min="15114" max="15114" width="28.140625" style="5" bestFit="1" customWidth="1"/>
    <col min="15115" max="15115" width="11.85546875" style="5" bestFit="1" customWidth="1"/>
    <col min="15116" max="15116" width="12.85546875" style="5" bestFit="1" customWidth="1"/>
    <col min="15117" max="15117" width="10.140625" style="5" bestFit="1" customWidth="1"/>
    <col min="15118" max="15118" width="10.85546875" style="5" bestFit="1" customWidth="1"/>
    <col min="15119" max="15119" width="15.140625" style="5" bestFit="1" customWidth="1"/>
    <col min="15120" max="15120" width="9.5703125" style="5" bestFit="1" customWidth="1"/>
    <col min="15121" max="15121" width="11.42578125" style="5" bestFit="1"/>
    <col min="15122" max="15122" width="14.28515625" style="5" bestFit="1" customWidth="1"/>
    <col min="15123" max="15123" width="252" style="5" bestFit="1" customWidth="1"/>
    <col min="15124" max="15124" width="67.28515625" style="5" bestFit="1" customWidth="1"/>
    <col min="15125" max="15125" width="26.5703125" style="5" bestFit="1" customWidth="1"/>
    <col min="15126" max="15126" width="67.28515625" style="5" bestFit="1" customWidth="1"/>
    <col min="15127" max="15127" width="11.7109375" style="5" bestFit="1" customWidth="1"/>
    <col min="15128" max="15128" width="14.42578125" style="5" bestFit="1" customWidth="1"/>
    <col min="15129" max="15129" width="33.28515625" style="5" bestFit="1" customWidth="1"/>
    <col min="15130" max="15130" width="9.28515625" style="5" bestFit="1" customWidth="1"/>
    <col min="15131" max="15131" width="12.42578125" style="5" bestFit="1" customWidth="1"/>
    <col min="15132" max="15132" width="11.42578125" style="5" bestFit="1"/>
    <col min="15133" max="15360" width="11.42578125" style="5"/>
    <col min="15361" max="15361" width="4.7109375" style="5" bestFit="1" customWidth="1"/>
    <col min="15362" max="15365" width="4.42578125" style="5" customWidth="1"/>
    <col min="15366" max="15366" width="10.5703125" style="5" bestFit="1" customWidth="1"/>
    <col min="15367" max="15367" width="13.28515625" style="5" bestFit="1" customWidth="1"/>
    <col min="15368" max="15368" width="8" style="5" bestFit="1" customWidth="1"/>
    <col min="15369" max="15369" width="67.5703125" style="5" bestFit="1" customWidth="1"/>
    <col min="15370" max="15370" width="28.140625" style="5" bestFit="1" customWidth="1"/>
    <col min="15371" max="15371" width="11.85546875" style="5" bestFit="1" customWidth="1"/>
    <col min="15372" max="15372" width="12.85546875" style="5" bestFit="1" customWidth="1"/>
    <col min="15373" max="15373" width="10.140625" style="5" bestFit="1" customWidth="1"/>
    <col min="15374" max="15374" width="10.85546875" style="5" bestFit="1" customWidth="1"/>
    <col min="15375" max="15375" width="15.140625" style="5" bestFit="1" customWidth="1"/>
    <col min="15376" max="15376" width="9.5703125" style="5" bestFit="1" customWidth="1"/>
    <col min="15377" max="15377" width="11.42578125" style="5" bestFit="1"/>
    <col min="15378" max="15378" width="14.28515625" style="5" bestFit="1" customWidth="1"/>
    <col min="15379" max="15379" width="252" style="5" bestFit="1" customWidth="1"/>
    <col min="15380" max="15380" width="67.28515625" style="5" bestFit="1" customWidth="1"/>
    <col min="15381" max="15381" width="26.5703125" style="5" bestFit="1" customWidth="1"/>
    <col min="15382" max="15382" width="67.28515625" style="5" bestFit="1" customWidth="1"/>
    <col min="15383" max="15383" width="11.7109375" style="5" bestFit="1" customWidth="1"/>
    <col min="15384" max="15384" width="14.42578125" style="5" bestFit="1" customWidth="1"/>
    <col min="15385" max="15385" width="33.28515625" style="5" bestFit="1" customWidth="1"/>
    <col min="15386" max="15386" width="9.28515625" style="5" bestFit="1" customWidth="1"/>
    <col min="15387" max="15387" width="12.42578125" style="5" bestFit="1" customWidth="1"/>
    <col min="15388" max="15388" width="11.42578125" style="5" bestFit="1"/>
    <col min="15389" max="15616" width="11.42578125" style="5"/>
    <col min="15617" max="15617" width="4.7109375" style="5" bestFit="1" customWidth="1"/>
    <col min="15618" max="15621" width="4.42578125" style="5" customWidth="1"/>
    <col min="15622" max="15622" width="10.5703125" style="5" bestFit="1" customWidth="1"/>
    <col min="15623" max="15623" width="13.28515625" style="5" bestFit="1" customWidth="1"/>
    <col min="15624" max="15624" width="8" style="5" bestFit="1" customWidth="1"/>
    <col min="15625" max="15625" width="67.5703125" style="5" bestFit="1" customWidth="1"/>
    <col min="15626" max="15626" width="28.140625" style="5" bestFit="1" customWidth="1"/>
    <col min="15627" max="15627" width="11.85546875" style="5" bestFit="1" customWidth="1"/>
    <col min="15628" max="15628" width="12.85546875" style="5" bestFit="1" customWidth="1"/>
    <col min="15629" max="15629" width="10.140625" style="5" bestFit="1" customWidth="1"/>
    <col min="15630" max="15630" width="10.85546875" style="5" bestFit="1" customWidth="1"/>
    <col min="15631" max="15631" width="15.140625" style="5" bestFit="1" customWidth="1"/>
    <col min="15632" max="15632" width="9.5703125" style="5" bestFit="1" customWidth="1"/>
    <col min="15633" max="15633" width="11.42578125" style="5" bestFit="1"/>
    <col min="15634" max="15634" width="14.28515625" style="5" bestFit="1" customWidth="1"/>
    <col min="15635" max="15635" width="252" style="5" bestFit="1" customWidth="1"/>
    <col min="15636" max="15636" width="67.28515625" style="5" bestFit="1" customWidth="1"/>
    <col min="15637" max="15637" width="26.5703125" style="5" bestFit="1" customWidth="1"/>
    <col min="15638" max="15638" width="67.28515625" style="5" bestFit="1" customWidth="1"/>
    <col min="15639" max="15639" width="11.7109375" style="5" bestFit="1" customWidth="1"/>
    <col min="15640" max="15640" width="14.42578125" style="5" bestFit="1" customWidth="1"/>
    <col min="15641" max="15641" width="33.28515625" style="5" bestFit="1" customWidth="1"/>
    <col min="15642" max="15642" width="9.28515625" style="5" bestFit="1" customWidth="1"/>
    <col min="15643" max="15643" width="12.42578125" style="5" bestFit="1" customWidth="1"/>
    <col min="15644" max="15644" width="11.42578125" style="5" bestFit="1"/>
    <col min="15645" max="15872" width="11.42578125" style="5"/>
    <col min="15873" max="15873" width="4.7109375" style="5" bestFit="1" customWidth="1"/>
    <col min="15874" max="15877" width="4.42578125" style="5" customWidth="1"/>
    <col min="15878" max="15878" width="10.5703125" style="5" bestFit="1" customWidth="1"/>
    <col min="15879" max="15879" width="13.28515625" style="5" bestFit="1" customWidth="1"/>
    <col min="15880" max="15880" width="8" style="5" bestFit="1" customWidth="1"/>
    <col min="15881" max="15881" width="67.5703125" style="5" bestFit="1" customWidth="1"/>
    <col min="15882" max="15882" width="28.140625" style="5" bestFit="1" customWidth="1"/>
    <col min="15883" max="15883" width="11.85546875" style="5" bestFit="1" customWidth="1"/>
    <col min="15884" max="15884" width="12.85546875" style="5" bestFit="1" customWidth="1"/>
    <col min="15885" max="15885" width="10.140625" style="5" bestFit="1" customWidth="1"/>
    <col min="15886" max="15886" width="10.85546875" style="5" bestFit="1" customWidth="1"/>
    <col min="15887" max="15887" width="15.140625" style="5" bestFit="1" customWidth="1"/>
    <col min="15888" max="15888" width="9.5703125" style="5" bestFit="1" customWidth="1"/>
    <col min="15889" max="15889" width="11.42578125" style="5" bestFit="1"/>
    <col min="15890" max="15890" width="14.28515625" style="5" bestFit="1" customWidth="1"/>
    <col min="15891" max="15891" width="252" style="5" bestFit="1" customWidth="1"/>
    <col min="15892" max="15892" width="67.28515625" style="5" bestFit="1" customWidth="1"/>
    <col min="15893" max="15893" width="26.5703125" style="5" bestFit="1" customWidth="1"/>
    <col min="15894" max="15894" width="67.28515625" style="5" bestFit="1" customWidth="1"/>
    <col min="15895" max="15895" width="11.7109375" style="5" bestFit="1" customWidth="1"/>
    <col min="15896" max="15896" width="14.42578125" style="5" bestFit="1" customWidth="1"/>
    <col min="15897" max="15897" width="33.28515625" style="5" bestFit="1" customWidth="1"/>
    <col min="15898" max="15898" width="9.28515625" style="5" bestFit="1" customWidth="1"/>
    <col min="15899" max="15899" width="12.42578125" style="5" bestFit="1" customWidth="1"/>
    <col min="15900" max="15900" width="11.42578125" style="5" bestFit="1"/>
    <col min="15901" max="16128" width="11.42578125" style="5"/>
    <col min="16129" max="16129" width="4.7109375" style="5" bestFit="1" customWidth="1"/>
    <col min="16130" max="16133" width="4.42578125" style="5" customWidth="1"/>
    <col min="16134" max="16134" width="10.5703125" style="5" bestFit="1" customWidth="1"/>
    <col min="16135" max="16135" width="13.28515625" style="5" bestFit="1" customWidth="1"/>
    <col min="16136" max="16136" width="8" style="5" bestFit="1" customWidth="1"/>
    <col min="16137" max="16137" width="67.5703125" style="5" bestFit="1" customWidth="1"/>
    <col min="16138" max="16138" width="28.140625" style="5" bestFit="1" customWidth="1"/>
    <col min="16139" max="16139" width="11.85546875" style="5" bestFit="1" customWidth="1"/>
    <col min="16140" max="16140" width="12.85546875" style="5" bestFit="1" customWidth="1"/>
    <col min="16141" max="16141" width="10.140625" style="5" bestFit="1" customWidth="1"/>
    <col min="16142" max="16142" width="10.85546875" style="5" bestFit="1" customWidth="1"/>
    <col min="16143" max="16143" width="15.140625" style="5" bestFit="1" customWidth="1"/>
    <col min="16144" max="16144" width="9.5703125" style="5" bestFit="1" customWidth="1"/>
    <col min="16145" max="16145" width="11.42578125" style="5" bestFit="1"/>
    <col min="16146" max="16146" width="14.28515625" style="5" bestFit="1" customWidth="1"/>
    <col min="16147" max="16147" width="252" style="5" bestFit="1" customWidth="1"/>
    <col min="16148" max="16148" width="67.28515625" style="5" bestFit="1" customWidth="1"/>
    <col min="16149" max="16149" width="26.5703125" style="5" bestFit="1" customWidth="1"/>
    <col min="16150" max="16150" width="67.28515625" style="5" bestFit="1" customWidth="1"/>
    <col min="16151" max="16151" width="11.7109375" style="5" bestFit="1" customWidth="1"/>
    <col min="16152" max="16152" width="14.42578125" style="5" bestFit="1" customWidth="1"/>
    <col min="16153" max="16153" width="33.28515625" style="5" bestFit="1" customWidth="1"/>
    <col min="16154" max="16154" width="9.28515625" style="5" bestFit="1" customWidth="1"/>
    <col min="16155" max="16155" width="12.42578125" style="5" bestFit="1" customWidth="1"/>
    <col min="16156" max="16156" width="11.42578125" style="5" bestFit="1"/>
    <col min="16157" max="16384" width="11.42578125" style="5"/>
  </cols>
  <sheetData>
    <row r="1" spans="1:29" ht="15" customHeight="1" x14ac:dyDescent="0.2">
      <c r="A1" s="1"/>
      <c r="B1" s="1"/>
      <c r="C1" s="1"/>
      <c r="D1" s="1"/>
      <c r="E1" s="1"/>
      <c r="F1" s="1" t="s">
        <v>26</v>
      </c>
      <c r="G1" s="2" t="s">
        <v>0</v>
      </c>
      <c r="H1" s="1" t="s">
        <v>1</v>
      </c>
      <c r="I1" s="1" t="s">
        <v>2</v>
      </c>
      <c r="J1" s="1" t="s">
        <v>3</v>
      </c>
      <c r="K1" s="1" t="s">
        <v>4</v>
      </c>
      <c r="L1" s="3" t="s">
        <v>5</v>
      </c>
      <c r="M1" s="1" t="s">
        <v>6</v>
      </c>
      <c r="N1" s="3" t="s">
        <v>7</v>
      </c>
      <c r="O1" s="1" t="s">
        <v>8</v>
      </c>
      <c r="P1" s="1" t="s">
        <v>9</v>
      </c>
      <c r="Q1" s="1" t="s">
        <v>10</v>
      </c>
      <c r="R1" s="1" t="s">
        <v>11</v>
      </c>
      <c r="S1" s="1" t="s">
        <v>12</v>
      </c>
      <c r="T1" s="1" t="s">
        <v>13</v>
      </c>
      <c r="U1" s="1" t="s">
        <v>14</v>
      </c>
      <c r="V1" s="1" t="s">
        <v>15</v>
      </c>
      <c r="W1" s="1" t="s">
        <v>16</v>
      </c>
      <c r="X1" s="1" t="s">
        <v>17</v>
      </c>
      <c r="Y1" s="1" t="s">
        <v>18</v>
      </c>
      <c r="Z1" s="1" t="s">
        <v>19</v>
      </c>
      <c r="AA1" s="1" t="s">
        <v>20</v>
      </c>
      <c r="AB1" s="1" t="s">
        <v>21</v>
      </c>
      <c r="AC1" s="4" t="s">
        <v>349</v>
      </c>
    </row>
    <row r="2" spans="1:29" ht="15" customHeight="1" x14ac:dyDescent="0.2">
      <c r="A2" s="1">
        <v>1</v>
      </c>
      <c r="B2" s="1"/>
      <c r="C2" s="1"/>
      <c r="D2" s="1"/>
      <c r="E2" s="1"/>
      <c r="F2" s="1">
        <v>1</v>
      </c>
      <c r="G2" s="2">
        <v>67924</v>
      </c>
      <c r="H2" s="1">
        <v>1</v>
      </c>
      <c r="I2" s="1" t="s">
        <v>35</v>
      </c>
      <c r="J2" s="1" t="s">
        <v>36</v>
      </c>
      <c r="K2" s="1"/>
      <c r="L2" s="3">
        <v>99</v>
      </c>
      <c r="M2" s="1">
        <v>53</v>
      </c>
      <c r="N2" s="3">
        <v>46.95</v>
      </c>
      <c r="O2" s="1">
        <f t="shared" ref="O2:O33" si="0">G2</f>
        <v>67924</v>
      </c>
      <c r="P2" s="1" t="s">
        <v>31</v>
      </c>
      <c r="Q2" s="1" t="s">
        <v>29</v>
      </c>
      <c r="R2" s="6"/>
      <c r="S2" s="7" t="s">
        <v>37</v>
      </c>
      <c r="T2" s="1" t="str">
        <f t="shared" ref="T2:T12" si="1">$I2 &amp; "," &amp; $J2 &amp;"," &amp; $P2 &amp;","&amp; $Q2</f>
        <v>BARNETT Cross - Armbrusttasche,Accueil,Outdoor plus,Armbrust,Zubehör,BlackFlash,Barnett</v>
      </c>
      <c r="U2" s="1" t="str">
        <f t="shared" ref="U2:U12" si="2">I2</f>
        <v>BARNETT Cross - Armbrusttasche</v>
      </c>
      <c r="V2" s="1" t="str">
        <f t="shared" ref="V2:V11" si="3">T2</f>
        <v>BARNETT Cross - Armbrusttasche,Accueil,Outdoor plus,Armbrust,Zubehör,BlackFlash,Barnett</v>
      </c>
      <c r="W2" s="1">
        <v>1</v>
      </c>
      <c r="X2" s="1">
        <v>1</v>
      </c>
      <c r="Y2" s="1" t="str">
        <f xml:space="preserve"> "http://usfh.ch/img/Armbrustzubehör/" &amp; G2 &amp; ".jpg"</f>
        <v>http://usfh.ch/img/Armbrustzubehör/67924.jpg</v>
      </c>
      <c r="Z2" s="1">
        <f t="shared" ref="Z2:Z12" si="4">G2</f>
        <v>67924</v>
      </c>
      <c r="AA2" s="8">
        <f t="shared" ref="AA2:AA11" si="5">F2*L2</f>
        <v>99</v>
      </c>
      <c r="AB2" s="8">
        <f t="shared" ref="AB2:AB11" si="6">F2*N2</f>
        <v>46.95</v>
      </c>
      <c r="AC2" s="1">
        <v>0.5</v>
      </c>
    </row>
    <row r="3" spans="1:29" ht="15" customHeight="1" x14ac:dyDescent="0.2">
      <c r="A3" s="1">
        <v>2</v>
      </c>
      <c r="B3" s="1"/>
      <c r="C3" s="1"/>
      <c r="D3" s="1"/>
      <c r="E3" s="1"/>
      <c r="F3" s="1">
        <v>0</v>
      </c>
      <c r="G3" s="2" t="s">
        <v>38</v>
      </c>
      <c r="H3" s="1">
        <v>1</v>
      </c>
      <c r="I3" s="1" t="s">
        <v>39</v>
      </c>
      <c r="J3" s="1" t="s">
        <v>40</v>
      </c>
      <c r="K3" s="1"/>
      <c r="L3" s="3">
        <v>119</v>
      </c>
      <c r="M3" s="1">
        <v>53</v>
      </c>
      <c r="N3" s="3">
        <v>59.65</v>
      </c>
      <c r="O3" s="1" t="str">
        <f t="shared" si="0"/>
        <v>TNC-4118-0268</v>
      </c>
      <c r="P3" s="1" t="s">
        <v>28</v>
      </c>
      <c r="Q3" s="1" t="s">
        <v>41</v>
      </c>
      <c r="R3" s="6"/>
      <c r="S3" s="7" t="s">
        <v>42</v>
      </c>
      <c r="T3" s="1" t="str">
        <f t="shared" si="1"/>
        <v>Easton Compoundbogen-Tasche 4118,Accueil,Outdoor plus,Pfeilbogen,Zubehör,SSA,Easton</v>
      </c>
      <c r="U3" s="1" t="str">
        <f t="shared" si="2"/>
        <v>Easton Compoundbogen-Tasche 4118</v>
      </c>
      <c r="V3" s="1" t="str">
        <f t="shared" si="3"/>
        <v>Easton Compoundbogen-Tasche 4118,Accueil,Outdoor plus,Pfeilbogen,Zubehör,SSA,Easton</v>
      </c>
      <c r="W3" s="1">
        <v>1</v>
      </c>
      <c r="X3" s="1">
        <v>1</v>
      </c>
      <c r="Y3" s="1" t="str">
        <f t="shared" ref="Y3:Y66" si="7" xml:space="preserve"> "http://usfh.ch/img/Armbrustzubehör/" &amp; G3 &amp; ".jpg"</f>
        <v>http://usfh.ch/img/Armbrustzubehör/TNC-4118-0268.jpg</v>
      </c>
      <c r="Z3" s="1" t="str">
        <f t="shared" si="4"/>
        <v>TNC-4118-0268</v>
      </c>
      <c r="AA3" s="8">
        <f t="shared" si="5"/>
        <v>0</v>
      </c>
      <c r="AB3" s="8">
        <f t="shared" si="6"/>
        <v>0</v>
      </c>
      <c r="AC3" s="1">
        <v>0.5</v>
      </c>
    </row>
    <row r="4" spans="1:29" ht="15" customHeight="1" x14ac:dyDescent="0.2">
      <c r="A4" s="1">
        <v>3</v>
      </c>
      <c r="B4" s="1"/>
      <c r="C4" s="1"/>
      <c r="D4" s="1"/>
      <c r="E4" s="1"/>
      <c r="F4" s="1">
        <v>0</v>
      </c>
      <c r="G4" s="2" t="s">
        <v>43</v>
      </c>
      <c r="H4" s="1">
        <v>1</v>
      </c>
      <c r="I4" s="1" t="s">
        <v>44</v>
      </c>
      <c r="J4" s="1" t="s">
        <v>36</v>
      </c>
      <c r="K4" s="1"/>
      <c r="L4" s="3">
        <v>119</v>
      </c>
      <c r="M4" s="1">
        <v>53</v>
      </c>
      <c r="N4" s="3">
        <v>49.15</v>
      </c>
      <c r="O4" s="1" t="str">
        <f t="shared" si="0"/>
        <v>DB6-70662</v>
      </c>
      <c r="P4" s="1" t="s">
        <v>28</v>
      </c>
      <c r="Q4" s="1" t="s">
        <v>45</v>
      </c>
      <c r="R4" s="6"/>
      <c r="S4" s="7" t="s">
        <v>46</v>
      </c>
      <c r="T4" s="1" t="str">
        <f t="shared" si="1"/>
        <v>SPEED BAG 24 TARGET - 24"x24"x10"    470FPS,Accueil,Outdoor plus,Armbrust,Zubehör,SSA,Delta McKenzie</v>
      </c>
      <c r="U4" s="1" t="str">
        <f t="shared" si="2"/>
        <v>SPEED BAG 24 TARGET - 24"x24"x10"    470FPS</v>
      </c>
      <c r="V4" s="1" t="str">
        <f t="shared" si="3"/>
        <v>SPEED BAG 24 TARGET - 24"x24"x10"    470FPS,Accueil,Outdoor plus,Armbrust,Zubehör,SSA,Delta McKenzie</v>
      </c>
      <c r="W4" s="1">
        <v>1</v>
      </c>
      <c r="X4" s="1">
        <v>1</v>
      </c>
      <c r="Y4" s="1" t="str">
        <f t="shared" si="7"/>
        <v>http://usfh.ch/img/Armbrustzubehör/DB6-70662.jpg</v>
      </c>
      <c r="Z4" s="1" t="str">
        <f t="shared" si="4"/>
        <v>DB6-70662</v>
      </c>
      <c r="AA4" s="8">
        <f t="shared" si="5"/>
        <v>0</v>
      </c>
      <c r="AB4" s="8">
        <f t="shared" si="6"/>
        <v>0</v>
      </c>
      <c r="AC4" s="1">
        <v>10</v>
      </c>
    </row>
    <row r="5" spans="1:29" ht="15" customHeight="1" x14ac:dyDescent="0.2">
      <c r="A5" s="1">
        <v>4</v>
      </c>
      <c r="B5" s="1"/>
      <c r="C5" s="1"/>
      <c r="D5" s="1"/>
      <c r="E5" s="1"/>
      <c r="F5" s="1">
        <v>0</v>
      </c>
      <c r="G5" s="2" t="s">
        <v>47</v>
      </c>
      <c r="H5" s="1">
        <v>1</v>
      </c>
      <c r="I5" s="1" t="s">
        <v>48</v>
      </c>
      <c r="J5" s="1" t="s">
        <v>36</v>
      </c>
      <c r="K5" s="1"/>
      <c r="L5" s="3">
        <v>99</v>
      </c>
      <c r="M5" s="1">
        <v>53</v>
      </c>
      <c r="N5" s="3">
        <v>31</v>
      </c>
      <c r="O5" s="1" t="str">
        <f t="shared" si="0"/>
        <v>DB6-70636</v>
      </c>
      <c r="P5" s="1" t="s">
        <v>28</v>
      </c>
      <c r="Q5" s="1" t="s">
        <v>45</v>
      </c>
      <c r="R5" s="6"/>
      <c r="S5" s="7" t="s">
        <v>49</v>
      </c>
      <c r="T5" s="1" t="str">
        <f t="shared" si="1"/>
        <v>SPEED BAG 20 TARGET - 20"x20"x8"    425FPS,Accueil,Outdoor plus,Armbrust,Zubehör,SSA,Delta McKenzie</v>
      </c>
      <c r="U5" s="1" t="str">
        <f t="shared" si="2"/>
        <v>SPEED BAG 20 TARGET - 20"x20"x8"    425FPS</v>
      </c>
      <c r="V5" s="1" t="str">
        <f t="shared" si="3"/>
        <v>SPEED BAG 20 TARGET - 20"x20"x8"    425FPS,Accueil,Outdoor plus,Armbrust,Zubehör,SSA,Delta McKenzie</v>
      </c>
      <c r="W5" s="1">
        <v>1</v>
      </c>
      <c r="X5" s="1">
        <v>1</v>
      </c>
      <c r="Y5" s="1" t="str">
        <f t="shared" si="7"/>
        <v>http://usfh.ch/img/Armbrustzubehör/DB6-70636.jpg</v>
      </c>
      <c r="Z5" s="1" t="str">
        <f t="shared" si="4"/>
        <v>DB6-70636</v>
      </c>
      <c r="AA5" s="8">
        <f t="shared" si="5"/>
        <v>0</v>
      </c>
      <c r="AB5" s="8">
        <f t="shared" si="6"/>
        <v>0</v>
      </c>
      <c r="AC5" s="1">
        <v>10</v>
      </c>
    </row>
    <row r="6" spans="1:29" ht="15" customHeight="1" x14ac:dyDescent="0.2">
      <c r="A6" s="1">
        <v>5</v>
      </c>
      <c r="B6" s="1"/>
      <c r="C6" s="1"/>
      <c r="D6" s="1"/>
      <c r="E6" s="1"/>
      <c r="F6" s="1">
        <v>40</v>
      </c>
      <c r="G6" s="2" t="s">
        <v>50</v>
      </c>
      <c r="H6" s="1">
        <v>1</v>
      </c>
      <c r="I6" s="1" t="s">
        <v>51</v>
      </c>
      <c r="J6" s="1" t="s">
        <v>36</v>
      </c>
      <c r="K6" s="1"/>
      <c r="L6" s="3">
        <v>12</v>
      </c>
      <c r="M6" s="1">
        <v>53</v>
      </c>
      <c r="N6" s="3">
        <v>4.5</v>
      </c>
      <c r="O6" s="1" t="str">
        <f t="shared" si="0"/>
        <v>A030027</v>
      </c>
      <c r="P6" s="1" t="s">
        <v>28</v>
      </c>
      <c r="Q6" s="1" t="s">
        <v>41</v>
      </c>
      <c r="R6" s="6"/>
      <c r="S6" s="7" t="s">
        <v>52</v>
      </c>
      <c r="T6" s="1" t="str">
        <f t="shared" si="1"/>
        <v>Bloodline Armbrustpfeil Bolzen 22" von Easton,Accueil,Outdoor plus,Armbrust,Zubehör,SSA,Easton</v>
      </c>
      <c r="U6" s="1" t="str">
        <f t="shared" si="2"/>
        <v>Bloodline Armbrustpfeil Bolzen 22" von Easton</v>
      </c>
      <c r="V6" s="1" t="str">
        <f t="shared" si="3"/>
        <v>Bloodline Armbrustpfeil Bolzen 22" von Easton,Accueil,Outdoor plus,Armbrust,Zubehör,SSA,Easton</v>
      </c>
      <c r="W6" s="1">
        <v>1</v>
      </c>
      <c r="X6" s="1">
        <v>1</v>
      </c>
      <c r="Y6" s="1" t="str">
        <f t="shared" si="7"/>
        <v>http://usfh.ch/img/Armbrustzubehör/A030027.jpg</v>
      </c>
      <c r="Z6" s="1" t="str">
        <f t="shared" si="4"/>
        <v>A030027</v>
      </c>
      <c r="AA6" s="8">
        <f t="shared" si="5"/>
        <v>480</v>
      </c>
      <c r="AB6" s="8">
        <f t="shared" si="6"/>
        <v>180</v>
      </c>
      <c r="AC6" s="1">
        <v>0.03</v>
      </c>
    </row>
    <row r="7" spans="1:29" ht="15" customHeight="1" x14ac:dyDescent="0.2">
      <c r="A7" s="1">
        <v>6</v>
      </c>
      <c r="B7" s="1"/>
      <c r="C7" s="1"/>
      <c r="D7" s="1"/>
      <c r="E7" s="1"/>
      <c r="F7" s="1">
        <v>0</v>
      </c>
      <c r="G7" s="2" t="s">
        <v>53</v>
      </c>
      <c r="H7" s="1">
        <v>1</v>
      </c>
      <c r="I7" s="1" t="s">
        <v>54</v>
      </c>
      <c r="J7" s="1" t="s">
        <v>36</v>
      </c>
      <c r="K7" s="1"/>
      <c r="L7" s="3">
        <v>12</v>
      </c>
      <c r="M7" s="1">
        <v>53</v>
      </c>
      <c r="N7" s="3">
        <v>4.5</v>
      </c>
      <c r="O7" s="1" t="str">
        <f t="shared" si="0"/>
        <v>PKX3M20-620830</v>
      </c>
      <c r="P7" s="1" t="s">
        <v>28</v>
      </c>
      <c r="Q7" s="1" t="s">
        <v>41</v>
      </c>
      <c r="R7" s="6"/>
      <c r="S7" s="7" t="s">
        <v>55</v>
      </c>
      <c r="T7" s="1" t="str">
        <f t="shared" si="1"/>
        <v>Bloodline Armbrustpfeil Bolzen 20" von Easton,Accueil,Outdoor plus,Armbrust,Zubehör,SSA,Easton</v>
      </c>
      <c r="U7" s="1" t="str">
        <f t="shared" si="2"/>
        <v>Bloodline Armbrustpfeil Bolzen 20" von Easton</v>
      </c>
      <c r="V7" s="1" t="str">
        <f t="shared" si="3"/>
        <v>Bloodline Armbrustpfeil Bolzen 20" von Easton,Accueil,Outdoor plus,Armbrust,Zubehör,SSA,Easton</v>
      </c>
      <c r="W7" s="1">
        <v>1</v>
      </c>
      <c r="X7" s="1">
        <v>1</v>
      </c>
      <c r="Y7" s="1" t="str">
        <f t="shared" si="7"/>
        <v>http://usfh.ch/img/Armbrustzubehör/PKX3M20-620830.jpg</v>
      </c>
      <c r="Z7" s="1" t="str">
        <f t="shared" si="4"/>
        <v>PKX3M20-620830</v>
      </c>
      <c r="AA7" s="8">
        <f t="shared" si="5"/>
        <v>0</v>
      </c>
      <c r="AB7" s="8">
        <f t="shared" si="6"/>
        <v>0</v>
      </c>
      <c r="AC7" s="1">
        <v>0.03</v>
      </c>
    </row>
    <row r="8" spans="1:29" ht="15" customHeight="1" x14ac:dyDescent="0.2">
      <c r="A8" s="1">
        <v>7</v>
      </c>
      <c r="B8" s="1"/>
      <c r="C8" s="1"/>
      <c r="D8" s="1"/>
      <c r="E8" s="1"/>
      <c r="F8" s="1">
        <v>0</v>
      </c>
      <c r="G8" s="2" t="s">
        <v>56</v>
      </c>
      <c r="H8" s="1">
        <v>1</v>
      </c>
      <c r="I8" s="1" t="s">
        <v>57</v>
      </c>
      <c r="J8" s="1" t="s">
        <v>36</v>
      </c>
      <c r="K8" s="1"/>
      <c r="L8" s="3">
        <v>12</v>
      </c>
      <c r="M8" s="1">
        <v>53</v>
      </c>
      <c r="N8" s="3">
        <v>4.5</v>
      </c>
      <c r="O8" s="1" t="str">
        <f t="shared" si="0"/>
        <v>A030024</v>
      </c>
      <c r="P8" s="1" t="s">
        <v>28</v>
      </c>
      <c r="Q8" s="1" t="s">
        <v>41</v>
      </c>
      <c r="R8" s="6"/>
      <c r="S8" s="7" t="s">
        <v>58</v>
      </c>
      <c r="T8" s="1" t="str">
        <f t="shared" si="1"/>
        <v>Bloodline Armbrustpfeil Bolzen 20" von Easton flach,Accueil,Outdoor plus,Armbrust,Zubehör,SSA,Easton</v>
      </c>
      <c r="U8" s="1" t="str">
        <f t="shared" si="2"/>
        <v>Bloodline Armbrustpfeil Bolzen 20" von Easton flach</v>
      </c>
      <c r="V8" s="1" t="str">
        <f t="shared" si="3"/>
        <v>Bloodline Armbrustpfeil Bolzen 20" von Easton flach,Accueil,Outdoor plus,Armbrust,Zubehör,SSA,Easton</v>
      </c>
      <c r="W8" s="1">
        <v>1</v>
      </c>
      <c r="X8" s="1">
        <v>1</v>
      </c>
      <c r="Y8" s="1" t="str">
        <f t="shared" si="7"/>
        <v>http://usfh.ch/img/Armbrustzubehör/A030024.jpg</v>
      </c>
      <c r="Z8" s="1" t="str">
        <f t="shared" si="4"/>
        <v>A030024</v>
      </c>
      <c r="AA8" s="8">
        <f t="shared" si="5"/>
        <v>0</v>
      </c>
      <c r="AB8" s="8">
        <f t="shared" si="6"/>
        <v>0</v>
      </c>
      <c r="AC8" s="1">
        <v>0.03</v>
      </c>
    </row>
    <row r="9" spans="1:29" ht="15" customHeight="1" x14ac:dyDescent="0.2">
      <c r="A9" s="1">
        <v>8</v>
      </c>
      <c r="B9" s="1"/>
      <c r="C9" s="1"/>
      <c r="D9" s="1"/>
      <c r="E9" s="1"/>
      <c r="F9" s="1">
        <v>17</v>
      </c>
      <c r="G9" s="2" t="s">
        <v>59</v>
      </c>
      <c r="H9" s="1">
        <v>1</v>
      </c>
      <c r="I9" s="1" t="s">
        <v>60</v>
      </c>
      <c r="J9" s="1" t="s">
        <v>36</v>
      </c>
      <c r="K9" s="1"/>
      <c r="L9" s="3">
        <v>5.5</v>
      </c>
      <c r="M9" s="1">
        <v>53</v>
      </c>
      <c r="N9" s="3">
        <v>1.1000000000000001</v>
      </c>
      <c r="O9" s="1" t="str">
        <f t="shared" si="0"/>
        <v>PAK-D-008M-16</v>
      </c>
      <c r="P9" s="1" t="s">
        <v>28</v>
      </c>
      <c r="Q9" s="1" t="s">
        <v>61</v>
      </c>
      <c r="R9" s="6"/>
      <c r="S9" s="7" t="s">
        <v>62</v>
      </c>
      <c r="T9" s="1" t="str">
        <f t="shared" si="1"/>
        <v>ARMBRUSTPFEIL MAN KUNG HAWK® 16" ALUMINIUM ROT,Accueil,Outdoor plus,Armbrust,Zubehör,SSA,EK-Poelang</v>
      </c>
      <c r="U9" s="1" t="str">
        <f t="shared" si="2"/>
        <v>ARMBRUSTPFEIL MAN KUNG HAWK® 16" ALUMINIUM ROT</v>
      </c>
      <c r="V9" s="1" t="str">
        <f t="shared" si="3"/>
        <v>ARMBRUSTPFEIL MAN KUNG HAWK® 16" ALUMINIUM ROT,Accueil,Outdoor plus,Armbrust,Zubehör,SSA,EK-Poelang</v>
      </c>
      <c r="W9" s="1">
        <v>1</v>
      </c>
      <c r="X9" s="1">
        <v>1</v>
      </c>
      <c r="Y9" s="1" t="str">
        <f t="shared" si="7"/>
        <v>http://usfh.ch/img/Armbrustzubehör/PAK-D-008M-16.jpg</v>
      </c>
      <c r="Z9" s="1" t="str">
        <f t="shared" si="4"/>
        <v>PAK-D-008M-16</v>
      </c>
      <c r="AA9" s="8">
        <f t="shared" si="5"/>
        <v>93.5</v>
      </c>
      <c r="AB9" s="8">
        <f t="shared" si="6"/>
        <v>18.700000000000003</v>
      </c>
      <c r="AC9" s="1">
        <v>0.03</v>
      </c>
    </row>
    <row r="10" spans="1:29" ht="15" customHeight="1" x14ac:dyDescent="0.2">
      <c r="A10" s="1">
        <v>9</v>
      </c>
      <c r="B10" s="1"/>
      <c r="C10" s="1"/>
      <c r="D10" s="1"/>
      <c r="E10" s="1"/>
      <c r="F10" s="1">
        <v>0</v>
      </c>
      <c r="G10" s="2" t="s">
        <v>63</v>
      </c>
      <c r="H10" s="1">
        <v>1</v>
      </c>
      <c r="I10" s="1" t="s">
        <v>64</v>
      </c>
      <c r="J10" s="1" t="s">
        <v>36</v>
      </c>
      <c r="K10" s="1"/>
      <c r="L10" s="3">
        <v>89</v>
      </c>
      <c r="M10" s="1">
        <v>53</v>
      </c>
      <c r="N10" s="3">
        <v>35.26</v>
      </c>
      <c r="O10" s="1" t="str">
        <f t="shared" si="0"/>
        <v>A017193</v>
      </c>
      <c r="P10" s="1" t="s">
        <v>28</v>
      </c>
      <c r="Q10" s="1" t="s">
        <v>33</v>
      </c>
      <c r="R10" s="6"/>
      <c r="S10" s="7" t="s">
        <v>65</v>
      </c>
      <c r="T10" s="1" t="str">
        <f t="shared" si="1"/>
        <v>Maximal Armbrustpfeil Scorpio 8.7mm Bolzen 16" 12Stk,Accueil,Outdoor plus,Armbrust,Zubehör,SSA,Maximal</v>
      </c>
      <c r="U10" s="1" t="str">
        <f t="shared" si="2"/>
        <v>Maximal Armbrustpfeil Scorpio 8.7mm Bolzen 16" 12Stk</v>
      </c>
      <c r="V10" s="1" t="str">
        <f t="shared" si="3"/>
        <v>Maximal Armbrustpfeil Scorpio 8.7mm Bolzen 16" 12Stk,Accueil,Outdoor plus,Armbrust,Zubehör,SSA,Maximal</v>
      </c>
      <c r="W10" s="1">
        <v>1</v>
      </c>
      <c r="X10" s="1">
        <v>1</v>
      </c>
      <c r="Y10" s="1" t="str">
        <f t="shared" si="7"/>
        <v>http://usfh.ch/img/Armbrustzubehör/A017193.jpg</v>
      </c>
      <c r="Z10" s="1" t="str">
        <f t="shared" si="4"/>
        <v>A017193</v>
      </c>
      <c r="AA10" s="8">
        <f t="shared" si="5"/>
        <v>0</v>
      </c>
      <c r="AB10" s="8">
        <f t="shared" si="6"/>
        <v>0</v>
      </c>
      <c r="AC10" s="1">
        <v>0.03</v>
      </c>
    </row>
    <row r="11" spans="1:29" ht="15" customHeight="1" x14ac:dyDescent="0.2">
      <c r="A11" s="1">
        <v>10</v>
      </c>
      <c r="B11" s="1"/>
      <c r="C11" s="1"/>
      <c r="D11" s="1"/>
      <c r="E11" s="1"/>
      <c r="F11" s="1">
        <v>0</v>
      </c>
      <c r="G11" s="2" t="s">
        <v>66</v>
      </c>
      <c r="H11" s="1">
        <v>1</v>
      </c>
      <c r="I11" s="1" t="s">
        <v>67</v>
      </c>
      <c r="J11" s="1" t="s">
        <v>40</v>
      </c>
      <c r="K11" s="1"/>
      <c r="L11" s="3">
        <v>23</v>
      </c>
      <c r="M11" s="1">
        <v>53</v>
      </c>
      <c r="N11" s="3">
        <v>10.95</v>
      </c>
      <c r="O11" s="1" t="str">
        <f t="shared" si="0"/>
        <v>PFE-BN-CH1900</v>
      </c>
      <c r="P11" s="1" t="s">
        <v>28</v>
      </c>
      <c r="Q11" s="1" t="s">
        <v>29</v>
      </c>
      <c r="R11" s="6"/>
      <c r="S11" s="7" t="s">
        <v>68</v>
      </c>
      <c r="T11" s="1" t="str">
        <f t="shared" si="1"/>
        <v>BARNETT Compoundbogen Pfeil 3er Set 28",Accueil,Outdoor plus,Pfeilbogen,Zubehör,SSA,Barnett</v>
      </c>
      <c r="U11" s="1" t="str">
        <f t="shared" si="2"/>
        <v>BARNETT Compoundbogen Pfeil 3er Set 28"</v>
      </c>
      <c r="V11" s="1" t="str">
        <f t="shared" si="3"/>
        <v>BARNETT Compoundbogen Pfeil 3er Set 28",Accueil,Outdoor plus,Pfeilbogen,Zubehör,SSA,Barnett</v>
      </c>
      <c r="W11" s="1">
        <v>1</v>
      </c>
      <c r="X11" s="1">
        <v>1</v>
      </c>
      <c r="Y11" s="1" t="str">
        <f t="shared" si="7"/>
        <v>http://usfh.ch/img/Armbrustzubehör/PFE-BN-CH1900.jpg</v>
      </c>
      <c r="Z11" s="1" t="str">
        <f t="shared" si="4"/>
        <v>PFE-BN-CH1900</v>
      </c>
      <c r="AA11" s="8">
        <f t="shared" si="5"/>
        <v>0</v>
      </c>
      <c r="AB11" s="8">
        <f t="shared" si="6"/>
        <v>0</v>
      </c>
      <c r="AC11" s="1">
        <v>0.12</v>
      </c>
    </row>
    <row r="12" spans="1:29" ht="15" customHeight="1" x14ac:dyDescent="0.2">
      <c r="A12" s="1">
        <v>11</v>
      </c>
      <c r="B12" s="1"/>
      <c r="C12" s="1"/>
      <c r="D12" s="1"/>
      <c r="E12" s="1"/>
      <c r="F12" s="1">
        <v>2</v>
      </c>
      <c r="G12" s="2" t="s">
        <v>69</v>
      </c>
      <c r="H12" s="1">
        <v>1</v>
      </c>
      <c r="I12" s="1" t="s">
        <v>70</v>
      </c>
      <c r="J12" s="1" t="s">
        <v>40</v>
      </c>
      <c r="K12" s="1"/>
      <c r="L12" s="3">
        <v>7</v>
      </c>
      <c r="M12" s="1">
        <v>53</v>
      </c>
      <c r="N12" s="3">
        <v>2.9</v>
      </c>
      <c r="O12" s="1" t="str">
        <f t="shared" si="0"/>
        <v>A028403</v>
      </c>
      <c r="P12" s="1" t="s">
        <v>28</v>
      </c>
      <c r="Q12" s="1" t="s">
        <v>71</v>
      </c>
      <c r="R12" s="6"/>
      <c r="S12" s="7" t="s">
        <v>72</v>
      </c>
      <c r="T12" s="1" t="str">
        <f t="shared" si="1"/>
        <v>Avalon Tyro 4.2 Carbon Komplettpfeil 800 / 90GR ,Accueil,Outdoor plus,Pfeilbogen,Zubehör,SSA,Avalon</v>
      </c>
      <c r="U12" s="1" t="str">
        <f t="shared" si="2"/>
        <v xml:space="preserve">Avalon Tyro 4.2 Carbon Komplettpfeil 800 / 90GR </v>
      </c>
      <c r="V12" s="1" t="str">
        <f t="shared" ref="V12" si="8">T12</f>
        <v>Avalon Tyro 4.2 Carbon Komplettpfeil 800 / 90GR ,Accueil,Outdoor plus,Pfeilbogen,Zubehör,SSA,Avalon</v>
      </c>
      <c r="W12" s="1">
        <v>1</v>
      </c>
      <c r="X12" s="1">
        <v>1</v>
      </c>
      <c r="Y12" s="1" t="str">
        <f t="shared" si="7"/>
        <v>http://usfh.ch/img/Armbrustzubehör/A028403.jpg</v>
      </c>
      <c r="Z12" s="1" t="str">
        <f t="shared" si="4"/>
        <v>A028403</v>
      </c>
      <c r="AA12" s="8">
        <f t="shared" ref="AA12" si="9">F12*L12</f>
        <v>14</v>
      </c>
      <c r="AB12" s="8">
        <f t="shared" ref="AB12" si="10">F12*N12</f>
        <v>5.8</v>
      </c>
      <c r="AC12" s="1">
        <v>0.12</v>
      </c>
    </row>
    <row r="13" spans="1:29" ht="15" customHeight="1" x14ac:dyDescent="0.2">
      <c r="A13" s="1">
        <v>12</v>
      </c>
      <c r="B13" s="1"/>
      <c r="C13" s="1"/>
      <c r="D13" s="1"/>
      <c r="E13" s="1"/>
      <c r="F13" s="1">
        <v>0</v>
      </c>
      <c r="G13" s="2" t="s">
        <v>73</v>
      </c>
      <c r="H13" s="1">
        <v>1</v>
      </c>
      <c r="I13" s="1" t="s">
        <v>74</v>
      </c>
      <c r="J13" s="1" t="s">
        <v>40</v>
      </c>
      <c r="K13" s="1"/>
      <c r="L13" s="3">
        <v>7</v>
      </c>
      <c r="M13" s="1">
        <v>53</v>
      </c>
      <c r="N13" s="3">
        <v>2.9</v>
      </c>
      <c r="O13" s="1" t="str">
        <f t="shared" si="0"/>
        <v>A028402</v>
      </c>
      <c r="P13" s="1" t="s">
        <v>28</v>
      </c>
      <c r="Q13" s="1" t="s">
        <v>71</v>
      </c>
      <c r="R13" s="6"/>
      <c r="S13" s="7" t="s">
        <v>75</v>
      </c>
      <c r="T13" s="1" t="str">
        <f t="shared" ref="T13:T43" si="11">$I13 &amp; "," &amp; $J13 &amp;"," &amp; $P13 &amp;","&amp; $Q13</f>
        <v>Avalon Tyro 4.2 Carbon Komplettpfeil 900 / 70gr,Accueil,Outdoor plus,Pfeilbogen,Zubehör,SSA,Avalon</v>
      </c>
      <c r="U13" s="1" t="str">
        <f t="shared" ref="U13:U43" si="12">I13</f>
        <v>Avalon Tyro 4.2 Carbon Komplettpfeil 900 / 70gr</v>
      </c>
      <c r="V13" s="1" t="str">
        <f t="shared" ref="V13:V43" si="13">T13</f>
        <v>Avalon Tyro 4.2 Carbon Komplettpfeil 900 / 70gr,Accueil,Outdoor plus,Pfeilbogen,Zubehör,SSA,Avalon</v>
      </c>
      <c r="W13" s="1">
        <v>1</v>
      </c>
      <c r="X13" s="1">
        <v>1</v>
      </c>
      <c r="Y13" s="1" t="str">
        <f t="shared" si="7"/>
        <v>http://usfh.ch/img/Armbrustzubehör/A028402.jpg</v>
      </c>
      <c r="Z13" s="1" t="str">
        <f t="shared" ref="Z13:Z43" si="14">G13</f>
        <v>A028402</v>
      </c>
      <c r="AA13" s="8">
        <f t="shared" ref="AA13:AA43" si="15">F13*L13</f>
        <v>0</v>
      </c>
      <c r="AB13" s="8">
        <f t="shared" ref="AB13:AB43" si="16">F13*N13</f>
        <v>0</v>
      </c>
      <c r="AC13" s="1">
        <v>1.7000000000000001E-2</v>
      </c>
    </row>
    <row r="14" spans="1:29" ht="15" customHeight="1" x14ac:dyDescent="0.2">
      <c r="A14" s="1">
        <v>13</v>
      </c>
      <c r="B14" s="1"/>
      <c r="C14" s="1"/>
      <c r="D14" s="1"/>
      <c r="E14" s="1"/>
      <c r="F14" s="1">
        <v>5</v>
      </c>
      <c r="G14" s="2" t="s">
        <v>76</v>
      </c>
      <c r="H14" s="1">
        <v>1</v>
      </c>
      <c r="I14" s="1" t="s">
        <v>77</v>
      </c>
      <c r="J14" s="1" t="s">
        <v>40</v>
      </c>
      <c r="K14" s="1"/>
      <c r="L14" s="3">
        <v>7</v>
      </c>
      <c r="M14" s="1">
        <v>53</v>
      </c>
      <c r="N14" s="3">
        <v>2.9</v>
      </c>
      <c r="O14" s="1" t="str">
        <f t="shared" si="0"/>
        <v>A028400</v>
      </c>
      <c r="P14" s="1" t="s">
        <v>28</v>
      </c>
      <c r="Q14" s="1" t="s">
        <v>71</v>
      </c>
      <c r="R14" s="6"/>
      <c r="S14" s="7" t="s">
        <v>78</v>
      </c>
      <c r="T14" s="1" t="str">
        <f t="shared" si="11"/>
        <v>Avalon Tyro 4.2 Carbon Komplettpfeil 1100 / 70gr,Accueil,Outdoor plus,Pfeilbogen,Zubehör,SSA,Avalon</v>
      </c>
      <c r="U14" s="1" t="str">
        <f t="shared" si="12"/>
        <v>Avalon Tyro 4.2 Carbon Komplettpfeil 1100 / 70gr</v>
      </c>
      <c r="V14" s="1" t="str">
        <f t="shared" si="13"/>
        <v>Avalon Tyro 4.2 Carbon Komplettpfeil 1100 / 70gr,Accueil,Outdoor plus,Pfeilbogen,Zubehör,SSA,Avalon</v>
      </c>
      <c r="W14" s="1">
        <v>1</v>
      </c>
      <c r="X14" s="1">
        <v>1</v>
      </c>
      <c r="Y14" s="1" t="str">
        <f t="shared" si="7"/>
        <v>http://usfh.ch/img/Armbrustzubehör/A028400.jpg</v>
      </c>
      <c r="Z14" s="1" t="str">
        <f t="shared" si="14"/>
        <v>A028400</v>
      </c>
      <c r="AA14" s="8">
        <f t="shared" si="15"/>
        <v>35</v>
      </c>
      <c r="AB14" s="8">
        <f t="shared" si="16"/>
        <v>14.5</v>
      </c>
      <c r="AC14" s="1">
        <v>1.7000000000000001E-2</v>
      </c>
    </row>
    <row r="15" spans="1:29" ht="15" customHeight="1" x14ac:dyDescent="0.2">
      <c r="A15" s="1">
        <v>14</v>
      </c>
      <c r="B15" s="1"/>
      <c r="C15" s="1"/>
      <c r="D15" s="1"/>
      <c r="E15" s="1"/>
      <c r="F15" s="1">
        <v>0</v>
      </c>
      <c r="G15" s="2" t="s">
        <v>79</v>
      </c>
      <c r="H15" s="1">
        <v>1</v>
      </c>
      <c r="I15" s="1" t="s">
        <v>80</v>
      </c>
      <c r="J15" s="1" t="s">
        <v>36</v>
      </c>
      <c r="K15" s="1"/>
      <c r="L15" s="3">
        <v>129</v>
      </c>
      <c r="M15" s="1">
        <v>53</v>
      </c>
      <c r="N15" s="3">
        <v>31</v>
      </c>
      <c r="O15" s="1" t="str">
        <f t="shared" si="0"/>
        <v>DB6-ERA-FUN-T</v>
      </c>
      <c r="P15" s="1" t="s">
        <v>28</v>
      </c>
      <c r="Q15" s="1" t="s">
        <v>81</v>
      </c>
      <c r="R15" s="6"/>
      <c r="S15" s="7" t="s">
        <v>80</v>
      </c>
      <c r="T15" s="1" t="str">
        <f t="shared" si="11"/>
        <v>ERA Targets Bags Target 4kg  55cmx55cm,Accueil,Outdoor plus,Armbrust,Zubehör,SSA,ERA</v>
      </c>
      <c r="U15" s="1" t="str">
        <f t="shared" si="12"/>
        <v>ERA Targets Bags Target 4kg  55cmx55cm</v>
      </c>
      <c r="V15" s="1" t="str">
        <f t="shared" si="13"/>
        <v>ERA Targets Bags Target 4kg  55cmx55cm,Accueil,Outdoor plus,Armbrust,Zubehör,SSA,ERA</v>
      </c>
      <c r="W15" s="1">
        <v>1</v>
      </c>
      <c r="X15" s="1">
        <v>1</v>
      </c>
      <c r="Y15" s="1" t="str">
        <f t="shared" si="7"/>
        <v>http://usfh.ch/img/Armbrustzubehör/DB6-ERA-FUN-T.jpg</v>
      </c>
      <c r="Z15" s="1" t="str">
        <f t="shared" si="14"/>
        <v>DB6-ERA-FUN-T</v>
      </c>
      <c r="AA15" s="8">
        <f t="shared" si="15"/>
        <v>0</v>
      </c>
      <c r="AB15" s="8">
        <f t="shared" si="16"/>
        <v>0</v>
      </c>
      <c r="AC15" s="1">
        <v>10</v>
      </c>
    </row>
    <row r="16" spans="1:29" ht="15" customHeight="1" x14ac:dyDescent="0.2">
      <c r="A16" s="1">
        <v>15</v>
      </c>
      <c r="B16" s="1"/>
      <c r="C16" s="1"/>
      <c r="D16" s="1"/>
      <c r="E16" s="1"/>
      <c r="F16" s="1">
        <v>0</v>
      </c>
      <c r="G16" s="2" t="s">
        <v>82</v>
      </c>
      <c r="H16" s="1">
        <v>1</v>
      </c>
      <c r="I16" s="1" t="s">
        <v>83</v>
      </c>
      <c r="J16" s="1" t="s">
        <v>36</v>
      </c>
      <c r="K16" s="1"/>
      <c r="L16" s="3">
        <v>89</v>
      </c>
      <c r="M16" s="1">
        <v>53</v>
      </c>
      <c r="N16" s="3">
        <v>31</v>
      </c>
      <c r="O16" s="1" t="str">
        <f t="shared" si="0"/>
        <v>DB6-H63100</v>
      </c>
      <c r="P16" s="1" t="s">
        <v>28</v>
      </c>
      <c r="Q16" s="1" t="s">
        <v>84</v>
      </c>
      <c r="R16" s="6"/>
      <c r="S16" s="7" t="s">
        <v>85</v>
      </c>
      <c r="T16" s="1" t="str">
        <f t="shared" si="11"/>
        <v>Fieldlogic Targets Targets Bags Storm 2-25  - 27"x4.5"x28",Accueil,Outdoor plus,Armbrust,Zubehör,SSA,Fieldlogic</v>
      </c>
      <c r="U16" s="1" t="str">
        <f t="shared" si="12"/>
        <v>Fieldlogic Targets Targets Bags Storm 2-25  - 27"x4.5"x28"</v>
      </c>
      <c r="V16" s="1" t="str">
        <f t="shared" si="13"/>
        <v>Fieldlogic Targets Targets Bags Storm 2-25  - 27"x4.5"x28",Accueil,Outdoor plus,Armbrust,Zubehör,SSA,Fieldlogic</v>
      </c>
      <c r="W16" s="1">
        <v>1</v>
      </c>
      <c r="X16" s="1">
        <v>1</v>
      </c>
      <c r="Y16" s="1" t="str">
        <f t="shared" si="7"/>
        <v>http://usfh.ch/img/Armbrustzubehör/DB6-H63100.jpg</v>
      </c>
      <c r="Z16" s="1" t="str">
        <f t="shared" si="14"/>
        <v>DB6-H63100</v>
      </c>
      <c r="AA16" s="8">
        <f t="shared" si="15"/>
        <v>0</v>
      </c>
      <c r="AB16" s="8">
        <f t="shared" si="16"/>
        <v>0</v>
      </c>
      <c r="AC16" s="1">
        <v>30</v>
      </c>
    </row>
    <row r="17" spans="1:29" ht="15" customHeight="1" x14ac:dyDescent="0.2">
      <c r="A17" s="1">
        <v>16</v>
      </c>
      <c r="B17" s="1"/>
      <c r="C17" s="1"/>
      <c r="D17" s="1"/>
      <c r="E17" s="1"/>
      <c r="F17" s="1">
        <v>0</v>
      </c>
      <c r="G17" s="2" t="s">
        <v>86</v>
      </c>
      <c r="H17" s="1">
        <v>1</v>
      </c>
      <c r="I17" s="1" t="s">
        <v>87</v>
      </c>
      <c r="J17" s="1" t="s">
        <v>36</v>
      </c>
      <c r="K17" s="1"/>
      <c r="L17" s="3">
        <v>35</v>
      </c>
      <c r="M17" s="1">
        <v>53</v>
      </c>
      <c r="N17" s="3">
        <v>13.8</v>
      </c>
      <c r="O17" s="1" t="str">
        <f t="shared" si="0"/>
        <v>D-110A2</v>
      </c>
      <c r="P17" s="1" t="s">
        <v>27</v>
      </c>
      <c r="Q17" s="1" t="s">
        <v>27</v>
      </c>
      <c r="R17" s="6"/>
      <c r="S17" s="7" t="s">
        <v>88</v>
      </c>
      <c r="T17" s="1" t="str">
        <f t="shared" si="11"/>
        <v>R9 CARBON BOLT 10stk,Accueil,Outdoor plus,Armbrust,Zubehör,Ek Archery,Ek Archery</v>
      </c>
      <c r="U17" s="1" t="str">
        <f t="shared" si="12"/>
        <v>R9 CARBON BOLT 10stk</v>
      </c>
      <c r="V17" s="1" t="str">
        <f t="shared" si="13"/>
        <v>R9 CARBON BOLT 10stk,Accueil,Outdoor plus,Armbrust,Zubehör,Ek Archery,Ek Archery</v>
      </c>
      <c r="W17" s="1">
        <v>1</v>
      </c>
      <c r="X17" s="1">
        <v>1</v>
      </c>
      <c r="Y17" s="1" t="str">
        <f t="shared" si="7"/>
        <v>http://usfh.ch/img/Armbrustzubehör/D-110A2.jpg</v>
      </c>
      <c r="Z17" s="1" t="str">
        <f t="shared" si="14"/>
        <v>D-110A2</v>
      </c>
      <c r="AA17" s="8">
        <f t="shared" si="15"/>
        <v>0</v>
      </c>
      <c r="AB17" s="8">
        <f t="shared" si="16"/>
        <v>0</v>
      </c>
      <c r="AC17" s="1">
        <v>0.2</v>
      </c>
    </row>
    <row r="18" spans="1:29" ht="15" customHeight="1" x14ac:dyDescent="0.2">
      <c r="A18" s="1">
        <v>17</v>
      </c>
      <c r="B18" s="1"/>
      <c r="C18" s="1"/>
      <c r="D18" s="1"/>
      <c r="E18" s="1"/>
      <c r="F18" s="1">
        <v>5</v>
      </c>
      <c r="G18" s="2" t="s">
        <v>297</v>
      </c>
      <c r="H18" s="1">
        <v>1</v>
      </c>
      <c r="I18" s="1" t="s">
        <v>290</v>
      </c>
      <c r="J18" s="1" t="s">
        <v>36</v>
      </c>
      <c r="K18" s="1"/>
      <c r="L18" s="3">
        <v>39</v>
      </c>
      <c r="M18" s="1">
        <v>53</v>
      </c>
      <c r="N18" s="3">
        <v>17.440000000000001</v>
      </c>
      <c r="O18" s="1" t="str">
        <f t="shared" si="0"/>
        <v>VD-112A</v>
      </c>
      <c r="P18" s="1" t="s">
        <v>27</v>
      </c>
      <c r="Q18" s="1" t="s">
        <v>27</v>
      </c>
      <c r="R18" s="6"/>
      <c r="S18" s="7" t="s">
        <v>89</v>
      </c>
      <c r="T18" s="1" t="str">
        <f t="shared" si="11"/>
        <v>RX CARBON BOLT 10stk (20),Accueil,Outdoor plus,Armbrust,Zubehör,Ek Archery,Ek Archery</v>
      </c>
      <c r="U18" s="1" t="str">
        <f t="shared" si="12"/>
        <v>RX CARBON BOLT 10stk (20)</v>
      </c>
      <c r="V18" s="1" t="str">
        <f t="shared" si="13"/>
        <v>RX CARBON BOLT 10stk (20),Accueil,Outdoor plus,Armbrust,Zubehör,Ek Archery,Ek Archery</v>
      </c>
      <c r="W18" s="1">
        <v>1</v>
      </c>
      <c r="X18" s="1">
        <v>1</v>
      </c>
      <c r="Y18" s="1" t="str">
        <f t="shared" si="7"/>
        <v>http://usfh.ch/img/Armbrustzubehör/VD-112A.jpg</v>
      </c>
      <c r="Z18" s="1" t="str">
        <f t="shared" si="14"/>
        <v>VD-112A</v>
      </c>
      <c r="AA18" s="8">
        <f t="shared" si="15"/>
        <v>195</v>
      </c>
      <c r="AB18" s="8">
        <f t="shared" si="16"/>
        <v>87.2</v>
      </c>
      <c r="AC18" s="1">
        <v>0.125</v>
      </c>
    </row>
    <row r="19" spans="1:29" ht="15" customHeight="1" x14ac:dyDescent="0.2">
      <c r="A19" s="1">
        <v>18</v>
      </c>
      <c r="B19" s="1"/>
      <c r="C19" s="1"/>
      <c r="D19" s="1"/>
      <c r="E19" s="1"/>
      <c r="F19" s="1">
        <v>4</v>
      </c>
      <c r="G19" s="2" t="s">
        <v>90</v>
      </c>
      <c r="H19" s="1">
        <v>1</v>
      </c>
      <c r="I19" s="1" t="s">
        <v>91</v>
      </c>
      <c r="J19" s="1" t="s">
        <v>40</v>
      </c>
      <c r="K19" s="1"/>
      <c r="L19" s="3">
        <v>69</v>
      </c>
      <c r="M19" s="1">
        <v>53</v>
      </c>
      <c r="N19" s="3">
        <v>14.65</v>
      </c>
      <c r="O19" s="1" t="str">
        <f t="shared" si="0"/>
        <v>D-030B-C4</v>
      </c>
      <c r="P19" s="1" t="s">
        <v>27</v>
      </c>
      <c r="Q19" s="1" t="s">
        <v>27</v>
      </c>
      <c r="R19" s="6"/>
      <c r="S19" s="7" t="s">
        <v>92</v>
      </c>
      <c r="T19" s="1" t="str">
        <f t="shared" si="11"/>
        <v>Ek Carbon Compound Bogen Pfeil 30" 6stk,Accueil,Outdoor plus,Pfeilbogen,Zubehör,Ek Archery,Ek Archery</v>
      </c>
      <c r="U19" s="1" t="str">
        <f t="shared" si="12"/>
        <v>Ek Carbon Compound Bogen Pfeil 30" 6stk</v>
      </c>
      <c r="V19" s="1" t="str">
        <f t="shared" si="13"/>
        <v>Ek Carbon Compound Bogen Pfeil 30" 6stk,Accueil,Outdoor plus,Pfeilbogen,Zubehör,Ek Archery,Ek Archery</v>
      </c>
      <c r="W19" s="1">
        <v>1</v>
      </c>
      <c r="X19" s="1">
        <v>1</v>
      </c>
      <c r="Y19" s="1" t="str">
        <f t="shared" si="7"/>
        <v>http://usfh.ch/img/Armbrustzubehör/D-030B-C4.jpg</v>
      </c>
      <c r="Z19" s="1" t="str">
        <f t="shared" si="14"/>
        <v>D-030B-C4</v>
      </c>
      <c r="AA19" s="8">
        <f t="shared" si="15"/>
        <v>276</v>
      </c>
      <c r="AB19" s="8">
        <f t="shared" si="16"/>
        <v>58.6</v>
      </c>
      <c r="AC19" s="1">
        <v>0.04</v>
      </c>
    </row>
    <row r="20" spans="1:29" ht="15" customHeight="1" x14ac:dyDescent="0.2">
      <c r="A20" s="1">
        <v>19</v>
      </c>
      <c r="B20" s="1"/>
      <c r="C20" s="1"/>
      <c r="D20" s="1"/>
      <c r="E20" s="1"/>
      <c r="F20" s="1">
        <v>1</v>
      </c>
      <c r="G20" s="2" t="s">
        <v>93</v>
      </c>
      <c r="H20" s="1">
        <v>1</v>
      </c>
      <c r="I20" s="1" t="s">
        <v>94</v>
      </c>
      <c r="J20" s="1" t="s">
        <v>36</v>
      </c>
      <c r="K20" s="1"/>
      <c r="L20" s="3">
        <v>59</v>
      </c>
      <c r="M20" s="1">
        <v>53</v>
      </c>
      <c r="N20" s="3">
        <v>12.4</v>
      </c>
      <c r="O20" s="1" t="str">
        <f t="shared" si="0"/>
        <v>B10048</v>
      </c>
      <c r="P20" s="1" t="s">
        <v>27</v>
      </c>
      <c r="Q20" s="1" t="s">
        <v>27</v>
      </c>
      <c r="R20" s="6"/>
      <c r="S20" s="7" t="s">
        <v>95</v>
      </c>
      <c r="T20" s="1" t="str">
        <f t="shared" si="11"/>
        <v>Tasche für Pistolenarmbrust, Cobra R9 / RX,Accueil,Outdoor plus,Armbrust,Zubehör,Ek Archery,Ek Archery</v>
      </c>
      <c r="U20" s="1" t="str">
        <f t="shared" si="12"/>
        <v>Tasche für Pistolenarmbrust, Cobra R9 / RX</v>
      </c>
      <c r="V20" s="1" t="str">
        <f t="shared" si="13"/>
        <v>Tasche für Pistolenarmbrust, Cobra R9 / RX,Accueil,Outdoor plus,Armbrust,Zubehör,Ek Archery,Ek Archery</v>
      </c>
      <c r="W20" s="1">
        <v>1</v>
      </c>
      <c r="X20" s="1">
        <v>1</v>
      </c>
      <c r="Y20" s="1" t="str">
        <f t="shared" si="7"/>
        <v>http://usfh.ch/img/Armbrustzubehör/B10048.jpg</v>
      </c>
      <c r="Z20" s="1" t="str">
        <f t="shared" si="14"/>
        <v>B10048</v>
      </c>
      <c r="AA20" s="8">
        <f t="shared" si="15"/>
        <v>59</v>
      </c>
      <c r="AB20" s="8">
        <f t="shared" si="16"/>
        <v>12.4</v>
      </c>
      <c r="AC20" s="1">
        <v>0.5</v>
      </c>
    </row>
    <row r="21" spans="1:29" ht="15" customHeight="1" x14ac:dyDescent="0.2">
      <c r="A21" s="1">
        <v>20</v>
      </c>
      <c r="B21" s="1"/>
      <c r="C21" s="1"/>
      <c r="D21" s="1"/>
      <c r="E21" s="1"/>
      <c r="F21" s="1">
        <v>1</v>
      </c>
      <c r="G21" s="2" t="s">
        <v>96</v>
      </c>
      <c r="H21" s="1">
        <v>1</v>
      </c>
      <c r="I21" s="1" t="s">
        <v>97</v>
      </c>
      <c r="J21" s="1" t="s">
        <v>36</v>
      </c>
      <c r="K21" s="1"/>
      <c r="L21" s="3">
        <v>69</v>
      </c>
      <c r="M21" s="1">
        <v>53</v>
      </c>
      <c r="N21" s="3">
        <v>17.3</v>
      </c>
      <c r="O21" s="1" t="str">
        <f t="shared" si="0"/>
        <v>B10032</v>
      </c>
      <c r="P21" s="1" t="s">
        <v>27</v>
      </c>
      <c r="Q21" s="1" t="s">
        <v>27</v>
      </c>
      <c r="R21" s="6"/>
      <c r="S21" s="7" t="s">
        <v>98</v>
      </c>
      <c r="T21" s="1" t="str">
        <f t="shared" si="11"/>
        <v>Tasche Breit,Accueil,Outdoor plus,Armbrust,Zubehör,Ek Archery,Ek Archery</v>
      </c>
      <c r="U21" s="1" t="str">
        <f t="shared" si="12"/>
        <v>Tasche Breit</v>
      </c>
      <c r="V21" s="1" t="str">
        <f t="shared" si="13"/>
        <v>Tasche Breit,Accueil,Outdoor plus,Armbrust,Zubehör,Ek Archery,Ek Archery</v>
      </c>
      <c r="W21" s="1">
        <v>1</v>
      </c>
      <c r="X21" s="1">
        <v>1</v>
      </c>
      <c r="Y21" s="1" t="str">
        <f t="shared" si="7"/>
        <v>http://usfh.ch/img/Armbrustzubehör/B10032.jpg</v>
      </c>
      <c r="Z21" s="1" t="str">
        <f t="shared" si="14"/>
        <v>B10032</v>
      </c>
      <c r="AA21" s="8">
        <f t="shared" si="15"/>
        <v>69</v>
      </c>
      <c r="AB21" s="8">
        <f t="shared" si="16"/>
        <v>17.3</v>
      </c>
      <c r="AC21" s="1">
        <v>0.5</v>
      </c>
    </row>
    <row r="22" spans="1:29" ht="15" customHeight="1" x14ac:dyDescent="0.2">
      <c r="A22" s="1">
        <v>21</v>
      </c>
      <c r="B22" s="1"/>
      <c r="C22" s="1"/>
      <c r="D22" s="1"/>
      <c r="E22" s="1"/>
      <c r="F22" s="1">
        <v>2</v>
      </c>
      <c r="G22" s="2" t="s">
        <v>99</v>
      </c>
      <c r="H22" s="1">
        <v>1</v>
      </c>
      <c r="I22" s="1" t="s">
        <v>100</v>
      </c>
      <c r="J22" s="1" t="s">
        <v>36</v>
      </c>
      <c r="K22" s="1"/>
      <c r="L22" s="3">
        <v>69</v>
      </c>
      <c r="M22" s="1">
        <v>53</v>
      </c>
      <c r="N22" s="3">
        <v>17.2</v>
      </c>
      <c r="O22" s="1" t="str">
        <f t="shared" si="0"/>
        <v>B10031</v>
      </c>
      <c r="P22" s="1" t="s">
        <v>27</v>
      </c>
      <c r="Q22" s="1" t="s">
        <v>27</v>
      </c>
      <c r="R22" s="6"/>
      <c r="S22" s="7" t="s">
        <v>101</v>
      </c>
      <c r="T22" s="1" t="str">
        <f t="shared" si="11"/>
        <v>Tasche schmal,Accueil,Outdoor plus,Armbrust,Zubehör,Ek Archery,Ek Archery</v>
      </c>
      <c r="U22" s="1" t="str">
        <f t="shared" si="12"/>
        <v>Tasche schmal</v>
      </c>
      <c r="V22" s="1" t="str">
        <f t="shared" si="13"/>
        <v>Tasche schmal,Accueil,Outdoor plus,Armbrust,Zubehör,Ek Archery,Ek Archery</v>
      </c>
      <c r="W22" s="1">
        <v>1</v>
      </c>
      <c r="X22" s="1">
        <v>1</v>
      </c>
      <c r="Y22" s="1" t="str">
        <f t="shared" si="7"/>
        <v>http://usfh.ch/img/Armbrustzubehör/B10031.jpg</v>
      </c>
      <c r="Z22" s="1" t="str">
        <f t="shared" si="14"/>
        <v>B10031</v>
      </c>
      <c r="AA22" s="8">
        <f t="shared" si="15"/>
        <v>138</v>
      </c>
      <c r="AB22" s="8">
        <f t="shared" si="16"/>
        <v>34.4</v>
      </c>
      <c r="AC22" s="1">
        <v>0.5</v>
      </c>
    </row>
    <row r="23" spans="1:29" ht="15" customHeight="1" x14ac:dyDescent="0.2">
      <c r="A23" s="1">
        <v>22</v>
      </c>
      <c r="B23" s="1"/>
      <c r="C23" s="1"/>
      <c r="D23" s="1"/>
      <c r="E23" s="1"/>
      <c r="F23" s="1">
        <v>3</v>
      </c>
      <c r="G23" s="2" t="s">
        <v>102</v>
      </c>
      <c r="H23" s="1">
        <v>1</v>
      </c>
      <c r="I23" s="1" t="s">
        <v>103</v>
      </c>
      <c r="J23" s="1" t="s">
        <v>36</v>
      </c>
      <c r="K23" s="1"/>
      <c r="L23" s="3">
        <v>59</v>
      </c>
      <c r="M23" s="1">
        <v>53</v>
      </c>
      <c r="N23" s="3">
        <v>9.8000000000000007</v>
      </c>
      <c r="O23" s="1" t="str">
        <f t="shared" si="0"/>
        <v>B10033</v>
      </c>
      <c r="P23" s="1" t="s">
        <v>27</v>
      </c>
      <c r="Q23" s="1" t="s">
        <v>27</v>
      </c>
      <c r="R23" s="6"/>
      <c r="S23" s="7" t="s">
        <v>104</v>
      </c>
      <c r="T23" s="1" t="str">
        <f t="shared" si="11"/>
        <v>Tasche für  Siege,Accueil,Outdoor plus,Armbrust,Zubehör,Ek Archery,Ek Archery</v>
      </c>
      <c r="U23" s="1" t="str">
        <f t="shared" si="12"/>
        <v>Tasche für  Siege</v>
      </c>
      <c r="V23" s="1" t="str">
        <f t="shared" si="13"/>
        <v>Tasche für  Siege,Accueil,Outdoor plus,Armbrust,Zubehör,Ek Archery,Ek Archery</v>
      </c>
      <c r="W23" s="1">
        <v>1</v>
      </c>
      <c r="X23" s="1">
        <v>1</v>
      </c>
      <c r="Y23" s="1" t="str">
        <f t="shared" si="7"/>
        <v>http://usfh.ch/img/Armbrustzubehör/B10033.jpg</v>
      </c>
      <c r="Z23" s="1" t="str">
        <f t="shared" si="14"/>
        <v>B10033</v>
      </c>
      <c r="AA23" s="8">
        <f t="shared" si="15"/>
        <v>177</v>
      </c>
      <c r="AB23" s="8">
        <f t="shared" si="16"/>
        <v>29.400000000000002</v>
      </c>
      <c r="AC23" s="1">
        <v>0.5</v>
      </c>
    </row>
    <row r="24" spans="1:29" ht="15" customHeight="1" x14ac:dyDescent="0.2">
      <c r="A24" s="1">
        <v>23</v>
      </c>
      <c r="B24" s="1"/>
      <c r="C24" s="1"/>
      <c r="D24" s="1"/>
      <c r="E24" s="1"/>
      <c r="F24" s="1">
        <v>0</v>
      </c>
      <c r="G24" s="2" t="s">
        <v>105</v>
      </c>
      <c r="H24" s="1">
        <v>1</v>
      </c>
      <c r="I24" s="1" t="s">
        <v>292</v>
      </c>
      <c r="J24" s="1" t="s">
        <v>36</v>
      </c>
      <c r="K24" s="1"/>
      <c r="L24" s="3">
        <v>43</v>
      </c>
      <c r="M24" s="1">
        <v>53</v>
      </c>
      <c r="N24" s="3">
        <v>18</v>
      </c>
      <c r="O24" s="1" t="str">
        <f t="shared" si="0"/>
        <v>D-119A</v>
      </c>
      <c r="P24" s="1" t="s">
        <v>27</v>
      </c>
      <c r="Q24" s="1" t="s">
        <v>27</v>
      </c>
      <c r="R24" s="6"/>
      <c r="S24" s="7" t="s">
        <v>106</v>
      </c>
      <c r="T24" s="1" t="str">
        <f t="shared" si="11"/>
        <v>EK Archery Carbon Bolzen für Cobra System Adder (10er Pack),Accueil,Outdoor plus,Armbrust,Zubehör,Ek Archery,Ek Archery</v>
      </c>
      <c r="U24" s="1" t="str">
        <f t="shared" si="12"/>
        <v>EK Archery Carbon Bolzen für Cobra System Adder (10er Pack)</v>
      </c>
      <c r="V24" s="1" t="str">
        <f t="shared" si="13"/>
        <v>EK Archery Carbon Bolzen für Cobra System Adder (10er Pack),Accueil,Outdoor plus,Armbrust,Zubehör,Ek Archery,Ek Archery</v>
      </c>
      <c r="W24" s="1">
        <v>1</v>
      </c>
      <c r="X24" s="1">
        <v>1</v>
      </c>
      <c r="Y24" s="1" t="str">
        <f t="shared" si="7"/>
        <v>http://usfh.ch/img/Armbrustzubehör/D-119A.jpg</v>
      </c>
      <c r="Z24" s="1" t="str">
        <f t="shared" si="14"/>
        <v>D-119A</v>
      </c>
      <c r="AA24" s="8">
        <f t="shared" si="15"/>
        <v>0</v>
      </c>
      <c r="AB24" s="8">
        <f t="shared" si="16"/>
        <v>0</v>
      </c>
      <c r="AC24" s="1">
        <v>0.125</v>
      </c>
    </row>
    <row r="25" spans="1:29" ht="15" customHeight="1" x14ac:dyDescent="0.2">
      <c r="A25" s="1">
        <v>24</v>
      </c>
      <c r="B25" s="1"/>
      <c r="C25" s="1"/>
      <c r="D25" s="1"/>
      <c r="E25" s="1"/>
      <c r="F25" s="1">
        <v>0</v>
      </c>
      <c r="G25" s="2" t="s">
        <v>107</v>
      </c>
      <c r="H25" s="1">
        <v>1</v>
      </c>
      <c r="I25" s="1" t="s">
        <v>108</v>
      </c>
      <c r="J25" s="1" t="s">
        <v>36</v>
      </c>
      <c r="K25" s="1"/>
      <c r="L25" s="3">
        <v>109</v>
      </c>
      <c r="M25" s="1">
        <v>53</v>
      </c>
      <c r="N25" s="3">
        <v>40</v>
      </c>
      <c r="O25" s="1" t="str">
        <f t="shared" si="0"/>
        <v>A010997</v>
      </c>
      <c r="P25" s="1" t="s">
        <v>28</v>
      </c>
      <c r="Q25" s="1" t="s">
        <v>109</v>
      </c>
      <c r="R25" s="6"/>
      <c r="S25" s="7" t="s">
        <v>110</v>
      </c>
      <c r="T25" s="1" t="str">
        <f t="shared" si="11"/>
        <v>Portable Target Storm 2-20,Accueil,Outdoor plus,Armbrust,Zubehör,SSA,Hurricane</v>
      </c>
      <c r="U25" s="1" t="str">
        <f t="shared" si="12"/>
        <v>Portable Target Storm 2-20</v>
      </c>
      <c r="V25" s="1" t="str">
        <f t="shared" si="13"/>
        <v>Portable Target Storm 2-20,Accueil,Outdoor plus,Armbrust,Zubehör,SSA,Hurricane</v>
      </c>
      <c r="W25" s="1">
        <v>1</v>
      </c>
      <c r="X25" s="1">
        <v>1</v>
      </c>
      <c r="Y25" s="1" t="str">
        <f t="shared" si="7"/>
        <v>http://usfh.ch/img/Armbrustzubehör/A010997.jpg</v>
      </c>
      <c r="Z25" s="1" t="str">
        <f t="shared" si="14"/>
        <v>A010997</v>
      </c>
      <c r="AA25" s="8">
        <f t="shared" si="15"/>
        <v>0</v>
      </c>
      <c r="AB25" s="8">
        <f t="shared" si="16"/>
        <v>0</v>
      </c>
      <c r="AC25" s="1">
        <v>10</v>
      </c>
    </row>
    <row r="26" spans="1:29" ht="15" customHeight="1" x14ac:dyDescent="0.2">
      <c r="A26" s="1">
        <v>25</v>
      </c>
      <c r="B26" s="1"/>
      <c r="C26" s="1"/>
      <c r="D26" s="1"/>
      <c r="E26" s="1"/>
      <c r="F26" s="1">
        <v>0</v>
      </c>
      <c r="G26" s="2" t="s">
        <v>111</v>
      </c>
      <c r="H26" s="1">
        <v>1</v>
      </c>
      <c r="I26" s="1" t="s">
        <v>112</v>
      </c>
      <c r="J26" s="1" t="s">
        <v>36</v>
      </c>
      <c r="K26" s="1"/>
      <c r="L26" s="3">
        <v>129</v>
      </c>
      <c r="M26" s="1">
        <v>53</v>
      </c>
      <c r="N26" s="3">
        <v>49</v>
      </c>
      <c r="O26" s="1" t="str">
        <f t="shared" si="0"/>
        <v>A010998</v>
      </c>
      <c r="P26" s="1" t="s">
        <v>28</v>
      </c>
      <c r="Q26" s="1" t="s">
        <v>109</v>
      </c>
      <c r="R26" s="6"/>
      <c r="S26" s="7" t="s">
        <v>113</v>
      </c>
      <c r="T26" s="1" t="str">
        <f t="shared" si="11"/>
        <v>Portable Target Storm 2-25,Accueil,Outdoor plus,Armbrust,Zubehör,SSA,Hurricane</v>
      </c>
      <c r="U26" s="1" t="str">
        <f t="shared" si="12"/>
        <v>Portable Target Storm 2-25</v>
      </c>
      <c r="V26" s="1" t="str">
        <f t="shared" si="13"/>
        <v>Portable Target Storm 2-25,Accueil,Outdoor plus,Armbrust,Zubehör,SSA,Hurricane</v>
      </c>
      <c r="W26" s="1">
        <v>1</v>
      </c>
      <c r="X26" s="1">
        <v>1</v>
      </c>
      <c r="Y26" s="1" t="str">
        <f t="shared" si="7"/>
        <v>http://usfh.ch/img/Armbrustzubehör/A010998.jpg</v>
      </c>
      <c r="Z26" s="1" t="str">
        <f t="shared" si="14"/>
        <v>A010998</v>
      </c>
      <c r="AA26" s="8">
        <f t="shared" si="15"/>
        <v>0</v>
      </c>
      <c r="AB26" s="8">
        <f t="shared" si="16"/>
        <v>0</v>
      </c>
      <c r="AC26" s="1">
        <v>10</v>
      </c>
    </row>
    <row r="27" spans="1:29" ht="15" customHeight="1" x14ac:dyDescent="0.2">
      <c r="A27" s="1">
        <v>26</v>
      </c>
      <c r="B27" s="1"/>
      <c r="C27" s="1"/>
      <c r="D27" s="1"/>
      <c r="E27" s="1"/>
      <c r="F27" s="1">
        <v>5</v>
      </c>
      <c r="G27" s="2" t="s">
        <v>296</v>
      </c>
      <c r="H27" s="1">
        <v>1</v>
      </c>
      <c r="I27" s="1" t="s">
        <v>114</v>
      </c>
      <c r="J27" s="1" t="s">
        <v>36</v>
      </c>
      <c r="K27" s="1"/>
      <c r="L27" s="3">
        <v>89</v>
      </c>
      <c r="M27" s="1">
        <v>53</v>
      </c>
      <c r="N27" s="3">
        <v>26</v>
      </c>
      <c r="O27" s="1" t="str">
        <f t="shared" si="0"/>
        <v>VB10017E4-S</v>
      </c>
      <c r="P27" s="1" t="s">
        <v>27</v>
      </c>
      <c r="Q27" s="1" t="s">
        <v>27</v>
      </c>
      <c r="R27" s="6"/>
      <c r="S27" s="7" t="s">
        <v>115</v>
      </c>
      <c r="T27" s="1" t="str">
        <f t="shared" si="11"/>
        <v>TARGET SET 60X60X10CM,Accueil,Outdoor plus,Armbrust,Zubehör,Ek Archery,Ek Archery</v>
      </c>
      <c r="U27" s="1" t="str">
        <f t="shared" si="12"/>
        <v>TARGET SET 60X60X10CM</v>
      </c>
      <c r="V27" s="1" t="str">
        <f t="shared" si="13"/>
        <v>TARGET SET 60X60X10CM,Accueil,Outdoor plus,Armbrust,Zubehör,Ek Archery,Ek Archery</v>
      </c>
      <c r="W27" s="1">
        <v>1</v>
      </c>
      <c r="X27" s="1">
        <v>1</v>
      </c>
      <c r="Y27" s="1" t="str">
        <f t="shared" si="7"/>
        <v>http://usfh.ch/img/Armbrustzubehör/VB10017E4-S.jpg</v>
      </c>
      <c r="Z27" s="1" t="str">
        <f t="shared" si="14"/>
        <v>VB10017E4-S</v>
      </c>
      <c r="AA27" s="8">
        <f t="shared" si="15"/>
        <v>445</v>
      </c>
      <c r="AB27" s="8">
        <f t="shared" si="16"/>
        <v>130</v>
      </c>
      <c r="AC27" s="1">
        <v>10</v>
      </c>
    </row>
    <row r="28" spans="1:29" ht="15" customHeight="1" x14ac:dyDescent="0.2">
      <c r="A28" s="1">
        <v>27</v>
      </c>
      <c r="B28" s="1"/>
      <c r="C28" s="1"/>
      <c r="D28" s="1"/>
      <c r="E28" s="1"/>
      <c r="F28" s="1">
        <v>3</v>
      </c>
      <c r="G28" s="2">
        <v>33054</v>
      </c>
      <c r="H28" s="1">
        <v>1</v>
      </c>
      <c r="I28" s="1" t="s">
        <v>116</v>
      </c>
      <c r="J28" s="1" t="s">
        <v>40</v>
      </c>
      <c r="K28" s="1"/>
      <c r="L28" s="3">
        <v>11</v>
      </c>
      <c r="M28" s="1">
        <v>53</v>
      </c>
      <c r="N28" s="3">
        <v>5.9</v>
      </c>
      <c r="O28" s="1">
        <f t="shared" si="0"/>
        <v>33054</v>
      </c>
      <c r="P28" s="1" t="s">
        <v>23</v>
      </c>
      <c r="Q28" s="1" t="s">
        <v>23</v>
      </c>
      <c r="R28" s="6">
        <v>4050346330541</v>
      </c>
      <c r="S28" s="7"/>
      <c r="T28" s="1" t="str">
        <f t="shared" si="11"/>
        <v>Carbonpfeil Länge 30,Accueil,Outdoor plus,Pfeilbogen,Zubehör,Haller,Haller</v>
      </c>
      <c r="U28" s="1" t="str">
        <f t="shared" si="12"/>
        <v>Carbonpfeil Länge 30</v>
      </c>
      <c r="V28" s="1" t="str">
        <f t="shared" si="13"/>
        <v>Carbonpfeil Länge 30,Accueil,Outdoor plus,Pfeilbogen,Zubehör,Haller,Haller</v>
      </c>
      <c r="W28" s="1">
        <v>1</v>
      </c>
      <c r="X28" s="1">
        <v>1</v>
      </c>
      <c r="Y28" s="1" t="str">
        <f t="shared" si="7"/>
        <v>http://usfh.ch/img/Armbrustzubehör/33054.jpg</v>
      </c>
      <c r="Z28" s="1">
        <f t="shared" si="14"/>
        <v>33054</v>
      </c>
      <c r="AA28" s="8">
        <f t="shared" si="15"/>
        <v>33</v>
      </c>
      <c r="AB28" s="8">
        <f t="shared" si="16"/>
        <v>17.700000000000003</v>
      </c>
      <c r="AC28" s="1">
        <v>0.03</v>
      </c>
    </row>
    <row r="29" spans="1:29" ht="15" customHeight="1" x14ac:dyDescent="0.2">
      <c r="A29" s="1">
        <v>28</v>
      </c>
      <c r="B29" s="1"/>
      <c r="C29" s="1"/>
      <c r="D29" s="1"/>
      <c r="E29" s="1"/>
      <c r="F29" s="1">
        <v>0</v>
      </c>
      <c r="G29" s="2">
        <v>33062</v>
      </c>
      <c r="H29" s="1">
        <v>1</v>
      </c>
      <c r="I29" s="1" t="s">
        <v>117</v>
      </c>
      <c r="J29" s="1" t="s">
        <v>40</v>
      </c>
      <c r="K29" s="1"/>
      <c r="L29" s="3">
        <v>6</v>
      </c>
      <c r="M29" s="1">
        <v>53</v>
      </c>
      <c r="N29" s="3">
        <v>1.8</v>
      </c>
      <c r="O29" s="1">
        <f t="shared" si="0"/>
        <v>33062</v>
      </c>
      <c r="P29" s="1" t="s">
        <v>23</v>
      </c>
      <c r="Q29" s="1" t="s">
        <v>23</v>
      </c>
      <c r="R29" s="6">
        <v>4050346330626</v>
      </c>
      <c r="S29" s="7"/>
      <c r="T29" s="1" t="str">
        <f t="shared" si="11"/>
        <v>Fiberglaspfeil Länge 30,Accueil,Outdoor plus,Pfeilbogen,Zubehör,Haller,Haller</v>
      </c>
      <c r="U29" s="1" t="str">
        <f t="shared" si="12"/>
        <v>Fiberglaspfeil Länge 30</v>
      </c>
      <c r="V29" s="1" t="str">
        <f t="shared" si="13"/>
        <v>Fiberglaspfeil Länge 30,Accueil,Outdoor plus,Pfeilbogen,Zubehör,Haller,Haller</v>
      </c>
      <c r="W29" s="1">
        <v>1</v>
      </c>
      <c r="X29" s="1">
        <v>1</v>
      </c>
      <c r="Y29" s="1" t="str">
        <f t="shared" si="7"/>
        <v>http://usfh.ch/img/Armbrustzubehör/33062.jpg</v>
      </c>
      <c r="Z29" s="1">
        <f t="shared" si="14"/>
        <v>33062</v>
      </c>
      <c r="AA29" s="8">
        <f t="shared" si="15"/>
        <v>0</v>
      </c>
      <c r="AB29" s="8">
        <f t="shared" si="16"/>
        <v>0</v>
      </c>
      <c r="AC29" s="1">
        <v>0.03</v>
      </c>
    </row>
    <row r="30" spans="1:29" ht="15" customHeight="1" x14ac:dyDescent="0.2">
      <c r="A30" s="1">
        <v>29</v>
      </c>
      <c r="B30" s="1"/>
      <c r="C30" s="1"/>
      <c r="D30" s="1"/>
      <c r="E30" s="1"/>
      <c r="F30" s="1">
        <v>0</v>
      </c>
      <c r="G30" s="2" t="s">
        <v>118</v>
      </c>
      <c r="H30" s="1">
        <v>1</v>
      </c>
      <c r="I30" s="1" t="s">
        <v>119</v>
      </c>
      <c r="J30" s="1" t="s">
        <v>36</v>
      </c>
      <c r="K30" s="1"/>
      <c r="L30" s="3">
        <v>99</v>
      </c>
      <c r="M30" s="1">
        <v>53</v>
      </c>
      <c r="N30" s="3">
        <v>34</v>
      </c>
      <c r="O30" s="1" t="str">
        <f t="shared" si="0"/>
        <v>A017197</v>
      </c>
      <c r="P30" s="1" t="s">
        <v>28</v>
      </c>
      <c r="Q30" s="1" t="s">
        <v>33</v>
      </c>
      <c r="R30" s="6"/>
      <c r="S30" s="7"/>
      <c r="T30" s="1" t="str">
        <f t="shared" si="11"/>
        <v>Scorpio Carbon Bolzen 20" 12er Pack,Accueil,Outdoor plus,Armbrust,Zubehör,SSA,Maximal</v>
      </c>
      <c r="U30" s="1" t="str">
        <f t="shared" si="12"/>
        <v>Scorpio Carbon Bolzen 20" 12er Pack</v>
      </c>
      <c r="V30" s="1" t="str">
        <f t="shared" si="13"/>
        <v>Scorpio Carbon Bolzen 20" 12er Pack,Accueil,Outdoor plus,Armbrust,Zubehör,SSA,Maximal</v>
      </c>
      <c r="W30" s="1">
        <v>1</v>
      </c>
      <c r="X30" s="1">
        <v>1</v>
      </c>
      <c r="Y30" s="1" t="str">
        <f t="shared" si="7"/>
        <v>http://usfh.ch/img/Armbrustzubehör/A017197.jpg</v>
      </c>
      <c r="Z30" s="1" t="str">
        <f t="shared" si="14"/>
        <v>A017197</v>
      </c>
      <c r="AA30" s="8">
        <f t="shared" si="15"/>
        <v>0</v>
      </c>
      <c r="AB30" s="8">
        <f t="shared" si="16"/>
        <v>0</v>
      </c>
      <c r="AC30" s="1">
        <v>0.03</v>
      </c>
    </row>
    <row r="31" spans="1:29" ht="15" customHeight="1" x14ac:dyDescent="0.2">
      <c r="A31" s="1">
        <v>30</v>
      </c>
      <c r="B31" s="1"/>
      <c r="C31" s="1"/>
      <c r="D31" s="1"/>
      <c r="E31" s="1"/>
      <c r="F31" s="1">
        <v>1</v>
      </c>
      <c r="G31" s="2" t="s">
        <v>120</v>
      </c>
      <c r="H31" s="1">
        <v>1</v>
      </c>
      <c r="I31" s="1" t="s">
        <v>121</v>
      </c>
      <c r="J31" s="1" t="s">
        <v>36</v>
      </c>
      <c r="K31" s="1"/>
      <c r="L31" s="3">
        <v>69</v>
      </c>
      <c r="M31" s="1">
        <v>53</v>
      </c>
      <c r="N31" s="3">
        <v>34</v>
      </c>
      <c r="O31" s="1" t="str">
        <f t="shared" si="0"/>
        <v>0000311</v>
      </c>
      <c r="P31" s="1" t="s">
        <v>34</v>
      </c>
      <c r="Q31" s="1" t="s">
        <v>34</v>
      </c>
      <c r="R31" s="6"/>
      <c r="S31" s="7" t="s">
        <v>122</v>
      </c>
      <c r="T31" s="1" t="str">
        <f t="shared" si="11"/>
        <v>Jagdpfeile für EK-Archery 5stk.,Accueil,Outdoor plus,Armbrust,Zubehör,Steambow,Steambow</v>
      </c>
      <c r="U31" s="1" t="str">
        <f t="shared" si="12"/>
        <v>Jagdpfeile für EK-Archery 5stk.</v>
      </c>
      <c r="V31" s="1" t="str">
        <f t="shared" si="13"/>
        <v>Jagdpfeile für EK-Archery 5stk.,Accueil,Outdoor plus,Armbrust,Zubehör,Steambow,Steambow</v>
      </c>
      <c r="W31" s="1">
        <v>1</v>
      </c>
      <c r="X31" s="1">
        <v>1</v>
      </c>
      <c r="Y31" s="1" t="str">
        <f t="shared" si="7"/>
        <v>http://usfh.ch/img/Armbrustzubehör/0000311.jpg</v>
      </c>
      <c r="Z31" s="1" t="str">
        <f t="shared" si="14"/>
        <v>0000311</v>
      </c>
      <c r="AA31" s="8">
        <f t="shared" si="15"/>
        <v>69</v>
      </c>
      <c r="AB31" s="8">
        <f t="shared" si="16"/>
        <v>34</v>
      </c>
      <c r="AC31" s="1">
        <v>0.2</v>
      </c>
    </row>
    <row r="32" spans="1:29" ht="15" customHeight="1" x14ac:dyDescent="0.2">
      <c r="A32" s="1">
        <v>31</v>
      </c>
      <c r="B32" s="1"/>
      <c r="C32" s="1"/>
      <c r="D32" s="1"/>
      <c r="E32" s="1"/>
      <c r="F32" s="1">
        <v>0</v>
      </c>
      <c r="G32" s="2" t="s">
        <v>123</v>
      </c>
      <c r="H32" s="1">
        <v>1</v>
      </c>
      <c r="I32" s="1" t="s">
        <v>124</v>
      </c>
      <c r="J32" s="1" t="s">
        <v>36</v>
      </c>
      <c r="K32" s="1"/>
      <c r="L32" s="3">
        <v>79</v>
      </c>
      <c r="M32" s="1">
        <v>53</v>
      </c>
      <c r="N32" s="3">
        <v>28</v>
      </c>
      <c r="O32" s="1" t="str">
        <f t="shared" si="0"/>
        <v>0000192</v>
      </c>
      <c r="P32" s="1" t="s">
        <v>34</v>
      </c>
      <c r="Q32" s="1" t="s">
        <v>34</v>
      </c>
      <c r="R32" s="6"/>
      <c r="S32" s="7" t="s">
        <v>125</v>
      </c>
      <c r="T32" s="1" t="str">
        <f t="shared" si="11"/>
        <v>Stinger taktische Waffenlampe,Accueil,Outdoor plus,Armbrust,Zubehör,Steambow,Steambow</v>
      </c>
      <c r="U32" s="1" t="str">
        <f t="shared" si="12"/>
        <v>Stinger taktische Waffenlampe</v>
      </c>
      <c r="V32" s="1" t="str">
        <f t="shared" si="13"/>
        <v>Stinger taktische Waffenlampe,Accueil,Outdoor plus,Armbrust,Zubehör,Steambow,Steambow</v>
      </c>
      <c r="W32" s="1">
        <v>1</v>
      </c>
      <c r="X32" s="1">
        <v>1</v>
      </c>
      <c r="Y32" s="1" t="str">
        <f t="shared" si="7"/>
        <v>http://usfh.ch/img/Armbrustzubehör/0000192.jpg</v>
      </c>
      <c r="Z32" s="1" t="str">
        <f t="shared" si="14"/>
        <v>0000192</v>
      </c>
      <c r="AA32" s="8">
        <f t="shared" si="15"/>
        <v>0</v>
      </c>
      <c r="AB32" s="8">
        <f t="shared" si="16"/>
        <v>0</v>
      </c>
      <c r="AC32" s="1">
        <v>0.3</v>
      </c>
    </row>
    <row r="33" spans="1:29" ht="15" customHeight="1" x14ac:dyDescent="0.2">
      <c r="A33" s="1">
        <v>32</v>
      </c>
      <c r="B33" s="1"/>
      <c r="C33" s="1"/>
      <c r="D33" s="1"/>
      <c r="E33" s="1"/>
      <c r="F33" s="1">
        <v>3</v>
      </c>
      <c r="G33" s="2" t="s">
        <v>126</v>
      </c>
      <c r="H33" s="1">
        <v>1</v>
      </c>
      <c r="I33" s="1" t="s">
        <v>127</v>
      </c>
      <c r="J33" s="1" t="s">
        <v>36</v>
      </c>
      <c r="K33" s="1"/>
      <c r="L33" s="3">
        <v>78</v>
      </c>
      <c r="M33" s="1">
        <v>53</v>
      </c>
      <c r="N33" s="3">
        <v>33</v>
      </c>
      <c r="O33" s="1" t="str">
        <f t="shared" si="0"/>
        <v>0000150</v>
      </c>
      <c r="P33" s="1" t="s">
        <v>34</v>
      </c>
      <c r="Q33" s="1" t="s">
        <v>34</v>
      </c>
      <c r="R33" s="6"/>
      <c r="S33" s="7" t="s">
        <v>128</v>
      </c>
      <c r="T33" s="1" t="str">
        <f t="shared" si="11"/>
        <v>Stinger Rotpunktvisier,Accueil,Outdoor plus,Armbrust,Zubehör,Steambow,Steambow</v>
      </c>
      <c r="U33" s="1" t="str">
        <f t="shared" si="12"/>
        <v>Stinger Rotpunktvisier</v>
      </c>
      <c r="V33" s="1" t="str">
        <f t="shared" si="13"/>
        <v>Stinger Rotpunktvisier,Accueil,Outdoor plus,Armbrust,Zubehör,Steambow,Steambow</v>
      </c>
      <c r="W33" s="1">
        <v>1</v>
      </c>
      <c r="X33" s="1">
        <v>1</v>
      </c>
      <c r="Y33" s="1" t="str">
        <f t="shared" si="7"/>
        <v>http://usfh.ch/img/Armbrustzubehör/0000150.jpg</v>
      </c>
      <c r="Z33" s="1" t="str">
        <f t="shared" si="14"/>
        <v>0000150</v>
      </c>
      <c r="AA33" s="8">
        <f t="shared" si="15"/>
        <v>234</v>
      </c>
      <c r="AB33" s="8">
        <f t="shared" si="16"/>
        <v>99</v>
      </c>
      <c r="AC33" s="1">
        <v>0.3</v>
      </c>
    </row>
    <row r="34" spans="1:29" ht="15" customHeight="1" x14ac:dyDescent="0.2">
      <c r="A34" s="1">
        <v>33</v>
      </c>
      <c r="B34" s="1"/>
      <c r="C34" s="1"/>
      <c r="D34" s="1"/>
      <c r="E34" s="1"/>
      <c r="F34" s="1">
        <v>1</v>
      </c>
      <c r="G34" s="2" t="s">
        <v>129</v>
      </c>
      <c r="H34" s="1">
        <v>1</v>
      </c>
      <c r="I34" s="1" t="s">
        <v>130</v>
      </c>
      <c r="J34" s="1" t="s">
        <v>36</v>
      </c>
      <c r="K34" s="1"/>
      <c r="L34" s="3">
        <v>59</v>
      </c>
      <c r="M34" s="1">
        <v>53</v>
      </c>
      <c r="N34" s="3">
        <v>22</v>
      </c>
      <c r="O34" s="1" t="str">
        <f t="shared" ref="O34:O64" si="17">G34</f>
        <v>B10018-3K</v>
      </c>
      <c r="P34" s="1" t="s">
        <v>27</v>
      </c>
      <c r="Q34" s="1" t="s">
        <v>27</v>
      </c>
      <c r="R34" s="6"/>
      <c r="S34" s="7" t="s">
        <v>131</v>
      </c>
      <c r="T34" s="1" t="str">
        <f t="shared" si="11"/>
        <v>Red Dot,Accueil,Outdoor plus,Armbrust,Zubehör,Ek Archery,Ek Archery</v>
      </c>
      <c r="U34" s="1" t="str">
        <f t="shared" si="12"/>
        <v>Red Dot</v>
      </c>
      <c r="V34" s="1" t="str">
        <f t="shared" si="13"/>
        <v>Red Dot,Accueil,Outdoor plus,Armbrust,Zubehör,Ek Archery,Ek Archery</v>
      </c>
      <c r="W34" s="1">
        <v>1</v>
      </c>
      <c r="X34" s="1">
        <v>1</v>
      </c>
      <c r="Y34" s="1" t="str">
        <f t="shared" si="7"/>
        <v>http://usfh.ch/img/Armbrustzubehör/B10018-3K.jpg</v>
      </c>
      <c r="Z34" s="1" t="str">
        <f t="shared" si="14"/>
        <v>B10018-3K</v>
      </c>
      <c r="AA34" s="8">
        <f t="shared" si="15"/>
        <v>59</v>
      </c>
      <c r="AB34" s="8">
        <f t="shared" si="16"/>
        <v>22</v>
      </c>
      <c r="AC34" s="1">
        <v>0.3</v>
      </c>
    </row>
    <row r="35" spans="1:29" ht="15" customHeight="1" x14ac:dyDescent="0.2">
      <c r="A35" s="1">
        <v>34</v>
      </c>
      <c r="B35" s="1"/>
      <c r="C35" s="1"/>
      <c r="D35" s="1"/>
      <c r="E35" s="1"/>
      <c r="F35" s="1">
        <v>4</v>
      </c>
      <c r="G35" s="2" t="s">
        <v>132</v>
      </c>
      <c r="H35" s="1">
        <v>1</v>
      </c>
      <c r="I35" s="1" t="s">
        <v>133</v>
      </c>
      <c r="J35" s="1" t="s">
        <v>36</v>
      </c>
      <c r="K35" s="1"/>
      <c r="L35" s="3">
        <v>149</v>
      </c>
      <c r="M35" s="1">
        <v>53</v>
      </c>
      <c r="N35" s="3">
        <v>59</v>
      </c>
      <c r="O35" s="1" t="str">
        <f t="shared" si="17"/>
        <v>A048176</v>
      </c>
      <c r="P35" s="1" t="s">
        <v>28</v>
      </c>
      <c r="Q35" s="1" t="s">
        <v>71</v>
      </c>
      <c r="R35" s="6"/>
      <c r="S35" s="7" t="s">
        <v>134</v>
      </c>
      <c r="T35" s="1" t="str">
        <f t="shared" si="11"/>
        <v>50X50X30CM TEC50 ZIELSCHEIBE FÜR BOGENSCHIESSEN UND ARMBRUST,Accueil,Outdoor plus,Armbrust,Zubehör,SSA,Avalon</v>
      </c>
      <c r="U35" s="1" t="str">
        <f t="shared" si="12"/>
        <v>50X50X30CM TEC50 ZIELSCHEIBE FÜR BOGENSCHIESSEN UND ARMBRUST</v>
      </c>
      <c r="V35" s="1" t="str">
        <f t="shared" si="13"/>
        <v>50X50X30CM TEC50 ZIELSCHEIBE FÜR BOGENSCHIESSEN UND ARMBRUST,Accueil,Outdoor plus,Armbrust,Zubehör,SSA,Avalon</v>
      </c>
      <c r="W35" s="1">
        <v>1</v>
      </c>
      <c r="X35" s="1">
        <v>1</v>
      </c>
      <c r="Y35" s="1" t="str">
        <f t="shared" si="7"/>
        <v>http://usfh.ch/img/Armbrustzubehör/A048176.jpg</v>
      </c>
      <c r="Z35" s="1" t="str">
        <f t="shared" si="14"/>
        <v>A048176</v>
      </c>
      <c r="AA35" s="8">
        <f t="shared" si="15"/>
        <v>596</v>
      </c>
      <c r="AB35" s="8">
        <f t="shared" si="16"/>
        <v>236</v>
      </c>
      <c r="AC35" s="1">
        <v>14</v>
      </c>
    </row>
    <row r="36" spans="1:29" ht="15" customHeight="1" x14ac:dyDescent="0.2">
      <c r="A36" s="1">
        <v>35</v>
      </c>
      <c r="B36" s="1"/>
      <c r="C36" s="1"/>
      <c r="D36" s="1"/>
      <c r="E36" s="1"/>
      <c r="F36" s="1">
        <v>4</v>
      </c>
      <c r="G36" s="2" t="s">
        <v>135</v>
      </c>
      <c r="H36" s="1">
        <v>1</v>
      </c>
      <c r="I36" s="1" t="s">
        <v>136</v>
      </c>
      <c r="J36" s="1" t="s">
        <v>36</v>
      </c>
      <c r="K36" s="1"/>
      <c r="L36" s="3">
        <v>189</v>
      </c>
      <c r="M36" s="1">
        <v>53</v>
      </c>
      <c r="N36" s="3">
        <v>76</v>
      </c>
      <c r="O36" s="1" t="str">
        <f t="shared" si="17"/>
        <v>A048177</v>
      </c>
      <c r="P36" s="1" t="s">
        <v>28</v>
      </c>
      <c r="Q36" s="1" t="s">
        <v>71</v>
      </c>
      <c r="R36" s="6"/>
      <c r="S36" s="7" t="s">
        <v>137</v>
      </c>
      <c r="T36" s="1" t="str">
        <f t="shared" si="11"/>
        <v>70X70X30CM TEC70 ZIELSCHEIBE FÜR BOGENSCHIESSEN UND ARMBRUST,Accueil,Outdoor plus,Armbrust,Zubehör,SSA,Avalon</v>
      </c>
      <c r="U36" s="1" t="str">
        <f t="shared" si="12"/>
        <v>70X70X30CM TEC70 ZIELSCHEIBE FÜR BOGENSCHIESSEN UND ARMBRUST</v>
      </c>
      <c r="V36" s="1" t="str">
        <f t="shared" si="13"/>
        <v>70X70X30CM TEC70 ZIELSCHEIBE FÜR BOGENSCHIESSEN UND ARMBRUST,Accueil,Outdoor plus,Armbrust,Zubehör,SSA,Avalon</v>
      </c>
      <c r="W36" s="1">
        <v>1</v>
      </c>
      <c r="X36" s="1">
        <v>1</v>
      </c>
      <c r="Y36" s="1" t="str">
        <f t="shared" si="7"/>
        <v>http://usfh.ch/img/Armbrustzubehör/A048177.jpg</v>
      </c>
      <c r="Z36" s="1" t="str">
        <f t="shared" si="14"/>
        <v>A048177</v>
      </c>
      <c r="AA36" s="8">
        <f t="shared" si="15"/>
        <v>756</v>
      </c>
      <c r="AB36" s="8">
        <f t="shared" si="16"/>
        <v>304</v>
      </c>
      <c r="AC36" s="1">
        <v>999</v>
      </c>
    </row>
    <row r="37" spans="1:29" ht="15" customHeight="1" x14ac:dyDescent="0.2">
      <c r="A37" s="1">
        <v>36</v>
      </c>
      <c r="B37" s="1"/>
      <c r="C37" s="1"/>
      <c r="D37" s="1"/>
      <c r="E37" s="1"/>
      <c r="F37" s="1">
        <v>48</v>
      </c>
      <c r="G37" s="2" t="s">
        <v>138</v>
      </c>
      <c r="H37" s="1">
        <v>1</v>
      </c>
      <c r="I37" s="1" t="s">
        <v>139</v>
      </c>
      <c r="J37" s="1" t="s">
        <v>36</v>
      </c>
      <c r="K37" s="1"/>
      <c r="L37" s="3">
        <v>12</v>
      </c>
      <c r="M37" s="1">
        <v>53</v>
      </c>
      <c r="N37" s="3">
        <v>2</v>
      </c>
      <c r="O37" s="1" t="str">
        <f t="shared" si="17"/>
        <v>VD-067BK</v>
      </c>
      <c r="P37" s="1" t="s">
        <v>27</v>
      </c>
      <c r="Q37" s="1" t="s">
        <v>27</v>
      </c>
      <c r="R37" s="6"/>
      <c r="S37" s="7" t="s">
        <v>140</v>
      </c>
      <c r="T37" s="1" t="str">
        <f t="shared" si="11"/>
        <v>CARBON ARROW 8.8mm 20" ,Accueil,Outdoor plus,Armbrust,Zubehör,Ek Archery,Ek Archery</v>
      </c>
      <c r="U37" s="1" t="str">
        <f t="shared" si="12"/>
        <v xml:space="preserve">CARBON ARROW 8.8mm 20" </v>
      </c>
      <c r="V37" s="1" t="str">
        <f t="shared" si="13"/>
        <v>CARBON ARROW 8.8mm 20" ,Accueil,Outdoor plus,Armbrust,Zubehör,Ek Archery,Ek Archery</v>
      </c>
      <c r="W37" s="1">
        <v>1</v>
      </c>
      <c r="X37" s="1">
        <v>1</v>
      </c>
      <c r="Y37" s="1" t="str">
        <f t="shared" si="7"/>
        <v>http://usfh.ch/img/Armbrustzubehör/VD-067BK.jpg</v>
      </c>
      <c r="Z37" s="1" t="str">
        <f t="shared" si="14"/>
        <v>VD-067BK</v>
      </c>
      <c r="AA37" s="8">
        <f t="shared" si="15"/>
        <v>576</v>
      </c>
      <c r="AB37" s="8">
        <f t="shared" si="16"/>
        <v>96</v>
      </c>
      <c r="AC37" s="1">
        <v>0.03</v>
      </c>
    </row>
    <row r="38" spans="1:29" ht="15" customHeight="1" x14ac:dyDescent="0.2">
      <c r="A38" s="1">
        <v>37</v>
      </c>
      <c r="B38" s="1"/>
      <c r="C38" s="1"/>
      <c r="D38" s="1"/>
      <c r="E38" s="1"/>
      <c r="F38" s="1">
        <v>0</v>
      </c>
      <c r="G38" s="2" t="s">
        <v>141</v>
      </c>
      <c r="H38" s="1">
        <v>1</v>
      </c>
      <c r="I38" s="1" t="s">
        <v>142</v>
      </c>
      <c r="J38" s="1" t="s">
        <v>36</v>
      </c>
      <c r="K38" s="1"/>
      <c r="L38" s="3">
        <v>72</v>
      </c>
      <c r="M38" s="1">
        <v>53</v>
      </c>
      <c r="N38" s="3">
        <v>17</v>
      </c>
      <c r="O38" s="1" t="str">
        <f t="shared" si="17"/>
        <v>D-067B3</v>
      </c>
      <c r="P38" s="1" t="s">
        <v>27</v>
      </c>
      <c r="Q38" s="1" t="s">
        <v>27</v>
      </c>
      <c r="R38" s="6"/>
      <c r="S38" s="7" t="s">
        <v>140</v>
      </c>
      <c r="T38" s="1" t="str">
        <f t="shared" si="11"/>
        <v>CARBON ARROW 8.8mm 20" 6 Stk.,Accueil,Outdoor plus,Armbrust,Zubehör,Ek Archery,Ek Archery</v>
      </c>
      <c r="U38" s="1" t="str">
        <f t="shared" si="12"/>
        <v>CARBON ARROW 8.8mm 20" 6 Stk.</v>
      </c>
      <c r="V38" s="1" t="str">
        <f t="shared" si="13"/>
        <v>CARBON ARROW 8.8mm 20" 6 Stk.,Accueil,Outdoor plus,Armbrust,Zubehör,Ek Archery,Ek Archery</v>
      </c>
      <c r="W38" s="1">
        <v>1</v>
      </c>
      <c r="X38" s="1">
        <v>1</v>
      </c>
      <c r="Y38" s="1" t="str">
        <f t="shared" si="7"/>
        <v>http://usfh.ch/img/Armbrustzubehör/D-067B3.jpg</v>
      </c>
      <c r="Z38" s="1" t="str">
        <f t="shared" si="14"/>
        <v>D-067B3</v>
      </c>
      <c r="AA38" s="8">
        <f t="shared" si="15"/>
        <v>0</v>
      </c>
      <c r="AB38" s="8">
        <f t="shared" si="16"/>
        <v>0</v>
      </c>
      <c r="AC38" s="1">
        <v>0.03</v>
      </c>
    </row>
    <row r="39" spans="1:29" ht="15" customHeight="1" x14ac:dyDescent="0.2">
      <c r="A39" s="1">
        <v>38</v>
      </c>
      <c r="B39" s="1"/>
      <c r="C39" s="1"/>
      <c r="D39" s="1"/>
      <c r="E39" s="1"/>
      <c r="F39" s="1">
        <v>3</v>
      </c>
      <c r="G39" s="2" t="s">
        <v>143</v>
      </c>
      <c r="H39" s="1">
        <v>1</v>
      </c>
      <c r="I39" s="1" t="s">
        <v>144</v>
      </c>
      <c r="J39" s="1" t="s">
        <v>36</v>
      </c>
      <c r="K39" s="1"/>
      <c r="L39" s="3">
        <v>72</v>
      </c>
      <c r="M39" s="1">
        <v>53</v>
      </c>
      <c r="N39" s="3">
        <v>18</v>
      </c>
      <c r="O39" s="1" t="str">
        <f t="shared" si="17"/>
        <v>D-069B-C3</v>
      </c>
      <c r="P39" s="1" t="s">
        <v>27</v>
      </c>
      <c r="Q39" s="1" t="s">
        <v>27</v>
      </c>
      <c r="R39" s="6"/>
      <c r="S39" s="7" t="s">
        <v>140</v>
      </c>
      <c r="T39" s="1" t="str">
        <f t="shared" si="11"/>
        <v>CARBON ARROW 8.8mm 22" 6 Stk.,Accueil,Outdoor plus,Armbrust,Zubehör,Ek Archery,Ek Archery</v>
      </c>
      <c r="U39" s="1" t="str">
        <f t="shared" si="12"/>
        <v>CARBON ARROW 8.8mm 22" 6 Stk.</v>
      </c>
      <c r="V39" s="1" t="str">
        <f t="shared" si="13"/>
        <v>CARBON ARROW 8.8mm 22" 6 Stk.,Accueil,Outdoor plus,Armbrust,Zubehör,Ek Archery,Ek Archery</v>
      </c>
      <c r="W39" s="1">
        <v>1</v>
      </c>
      <c r="X39" s="1">
        <v>1</v>
      </c>
      <c r="Y39" s="1" t="str">
        <f t="shared" si="7"/>
        <v>http://usfh.ch/img/Armbrustzubehör/D-069B-C3.jpg</v>
      </c>
      <c r="Z39" s="1" t="str">
        <f t="shared" si="14"/>
        <v>D-069B-C3</v>
      </c>
      <c r="AA39" s="8">
        <f t="shared" si="15"/>
        <v>216</v>
      </c>
      <c r="AB39" s="8">
        <f t="shared" si="16"/>
        <v>54</v>
      </c>
      <c r="AC39" s="1">
        <v>0.03</v>
      </c>
    </row>
    <row r="40" spans="1:29" ht="15" customHeight="1" x14ac:dyDescent="0.2">
      <c r="A40" s="1">
        <v>39</v>
      </c>
      <c r="B40" s="1"/>
      <c r="C40" s="1"/>
      <c r="D40" s="1"/>
      <c r="E40" s="1"/>
      <c r="F40" s="1">
        <v>6</v>
      </c>
      <c r="G40" s="2" t="s">
        <v>145</v>
      </c>
      <c r="H40" s="1">
        <v>1</v>
      </c>
      <c r="I40" s="7" t="s">
        <v>146</v>
      </c>
      <c r="J40" s="1" t="s">
        <v>36</v>
      </c>
      <c r="K40" s="1"/>
      <c r="L40" s="3">
        <v>60</v>
      </c>
      <c r="M40" s="1">
        <v>53</v>
      </c>
      <c r="N40" s="3">
        <v>14</v>
      </c>
      <c r="O40" s="1" t="str">
        <f t="shared" si="17"/>
        <v>A011161</v>
      </c>
      <c r="P40" s="1" t="s">
        <v>28</v>
      </c>
      <c r="Q40" s="1" t="s">
        <v>28</v>
      </c>
      <c r="R40" s="6"/>
      <c r="S40" s="7"/>
      <c r="T40" s="1" t="str">
        <f t="shared" si="11"/>
        <v xml:space="preserve">
FOAM TARGET FORMAT SINGLE B 80x80x7/8cm WITH PANEL,Accueil,Outdoor plus,Armbrust,Zubehör,SSA,SSA</v>
      </c>
      <c r="U40" s="1" t="str">
        <f t="shared" si="12"/>
        <v xml:space="preserve">
FOAM TARGET FORMAT SINGLE B 80x80x7/8cm WITH PANEL</v>
      </c>
      <c r="V40" s="1" t="str">
        <f t="shared" si="13"/>
        <v xml:space="preserve">
FOAM TARGET FORMAT SINGLE B 80x80x7/8cm WITH PANEL,Accueil,Outdoor plus,Armbrust,Zubehör,SSA,SSA</v>
      </c>
      <c r="W40" s="1">
        <v>1</v>
      </c>
      <c r="X40" s="1">
        <v>1</v>
      </c>
      <c r="Y40" s="1" t="str">
        <f t="shared" si="7"/>
        <v>http://usfh.ch/img/Armbrustzubehör/A011161.jpg</v>
      </c>
      <c r="Z40" s="1" t="str">
        <f t="shared" si="14"/>
        <v>A011161</v>
      </c>
      <c r="AA40" s="8">
        <f t="shared" si="15"/>
        <v>360</v>
      </c>
      <c r="AB40" s="8">
        <f t="shared" si="16"/>
        <v>84</v>
      </c>
      <c r="AC40" s="1">
        <v>999</v>
      </c>
    </row>
    <row r="41" spans="1:29" ht="15" customHeight="1" x14ac:dyDescent="0.2">
      <c r="A41" s="1">
        <v>40</v>
      </c>
      <c r="B41" s="1"/>
      <c r="C41" s="1"/>
      <c r="D41" s="1"/>
      <c r="E41" s="1"/>
      <c r="F41" s="1">
        <v>0</v>
      </c>
      <c r="G41" s="2" t="s">
        <v>147</v>
      </c>
      <c r="H41" s="1">
        <v>1</v>
      </c>
      <c r="I41" s="7" t="s">
        <v>148</v>
      </c>
      <c r="J41" s="1" t="s">
        <v>36</v>
      </c>
      <c r="K41" s="1"/>
      <c r="L41" s="3">
        <v>89</v>
      </c>
      <c r="M41" s="1">
        <v>53</v>
      </c>
      <c r="N41" s="3">
        <v>29</v>
      </c>
      <c r="O41" s="1" t="str">
        <f t="shared" si="17"/>
        <v>A011163</v>
      </c>
      <c r="P41" s="1" t="s">
        <v>28</v>
      </c>
      <c r="Q41" s="1" t="s">
        <v>28</v>
      </c>
      <c r="R41" s="6"/>
      <c r="S41" s="7"/>
      <c r="T41" s="1" t="str">
        <f t="shared" si="11"/>
        <v xml:space="preserve">
FOAM TARGET FORMAT SINGLE B 80x80x12cm WITH PANEL,Accueil,Outdoor plus,Armbrust,Zubehör,SSA,SSA</v>
      </c>
      <c r="U41" s="1" t="str">
        <f t="shared" si="12"/>
        <v xml:space="preserve">
FOAM TARGET FORMAT SINGLE B 80x80x12cm WITH PANEL</v>
      </c>
      <c r="V41" s="1" t="str">
        <f t="shared" si="13"/>
        <v xml:space="preserve">
FOAM TARGET FORMAT SINGLE B 80x80x12cm WITH PANEL,Accueil,Outdoor plus,Armbrust,Zubehör,SSA,SSA</v>
      </c>
      <c r="W41" s="1">
        <v>1</v>
      </c>
      <c r="X41" s="1">
        <v>1</v>
      </c>
      <c r="Y41" s="1" t="str">
        <f t="shared" si="7"/>
        <v>http://usfh.ch/img/Armbrustzubehör/A011163.jpg</v>
      </c>
      <c r="Z41" s="1" t="str">
        <f t="shared" si="14"/>
        <v>A011163</v>
      </c>
      <c r="AA41" s="8">
        <f t="shared" si="15"/>
        <v>0</v>
      </c>
      <c r="AB41" s="8">
        <f t="shared" si="16"/>
        <v>0</v>
      </c>
      <c r="AC41" s="1">
        <v>999</v>
      </c>
    </row>
    <row r="42" spans="1:29" ht="15" customHeight="1" x14ac:dyDescent="0.2">
      <c r="A42" s="1">
        <v>41</v>
      </c>
      <c r="B42" s="1"/>
      <c r="C42" s="1"/>
      <c r="D42" s="1"/>
      <c r="E42" s="1"/>
      <c r="F42" s="1">
        <v>3</v>
      </c>
      <c r="G42" s="2" t="s">
        <v>149</v>
      </c>
      <c r="H42" s="1">
        <v>1</v>
      </c>
      <c r="I42" s="7" t="s">
        <v>150</v>
      </c>
      <c r="J42" s="1" t="s">
        <v>36</v>
      </c>
      <c r="K42" s="1"/>
      <c r="L42" s="3">
        <v>99</v>
      </c>
      <c r="M42" s="1">
        <v>53</v>
      </c>
      <c r="N42" s="3">
        <v>32.4</v>
      </c>
      <c r="O42" s="1" t="str">
        <f t="shared" si="17"/>
        <v>A022825</v>
      </c>
      <c r="P42" s="1" t="s">
        <v>28</v>
      </c>
      <c r="Q42" s="1" t="s">
        <v>71</v>
      </c>
      <c r="R42" s="6"/>
      <c r="S42" s="7" t="s">
        <v>151</v>
      </c>
      <c r="T42" s="1" t="str">
        <f t="shared" si="11"/>
        <v xml:space="preserve">
AVALON METAL TARGET STAND,Accueil,Outdoor plus,Armbrust,Zubehör,SSA,Avalon</v>
      </c>
      <c r="U42" s="1" t="str">
        <f t="shared" si="12"/>
        <v xml:space="preserve">
AVALON METAL TARGET STAND</v>
      </c>
      <c r="V42" s="1" t="str">
        <f t="shared" si="13"/>
        <v xml:space="preserve">
AVALON METAL TARGET STAND,Accueil,Outdoor plus,Armbrust,Zubehör,SSA,Avalon</v>
      </c>
      <c r="W42" s="1">
        <v>1</v>
      </c>
      <c r="X42" s="1">
        <v>1</v>
      </c>
      <c r="Y42" s="1" t="str">
        <f t="shared" si="7"/>
        <v>http://usfh.ch/img/Armbrustzubehör/A022825.jpg</v>
      </c>
      <c r="Z42" s="1" t="str">
        <f t="shared" si="14"/>
        <v>A022825</v>
      </c>
      <c r="AA42" s="8">
        <f t="shared" si="15"/>
        <v>297</v>
      </c>
      <c r="AB42" s="8">
        <f t="shared" si="16"/>
        <v>97.199999999999989</v>
      </c>
      <c r="AC42" s="1">
        <v>999</v>
      </c>
    </row>
    <row r="43" spans="1:29" ht="15" customHeight="1" x14ac:dyDescent="0.2">
      <c r="A43" s="1">
        <v>42</v>
      </c>
      <c r="B43" s="1"/>
      <c r="C43" s="1"/>
      <c r="D43" s="1"/>
      <c r="E43" s="1"/>
      <c r="F43" s="1">
        <v>3</v>
      </c>
      <c r="G43" s="2" t="s">
        <v>152</v>
      </c>
      <c r="H43" s="1">
        <v>1</v>
      </c>
      <c r="I43" s="7" t="s">
        <v>153</v>
      </c>
      <c r="J43" s="1" t="s">
        <v>36</v>
      </c>
      <c r="K43" s="1"/>
      <c r="L43" s="3">
        <v>59</v>
      </c>
      <c r="M43" s="1">
        <v>53</v>
      </c>
      <c r="N43" s="3">
        <v>13.2</v>
      </c>
      <c r="O43" s="1" t="str">
        <f t="shared" si="17"/>
        <v>D-120A1-A</v>
      </c>
      <c r="P43" s="1" t="s">
        <v>27</v>
      </c>
      <c r="Q43" s="1" t="s">
        <v>27</v>
      </c>
      <c r="R43" s="6"/>
      <c r="S43" s="7" t="s">
        <v>154</v>
      </c>
      <c r="T43" s="1" t="str">
        <f t="shared" si="11"/>
        <v>SIEGE CARBON BOLT 15.5" 6er Packung,Accueil,Outdoor plus,Armbrust,Zubehör,Ek Archery,Ek Archery</v>
      </c>
      <c r="U43" s="1" t="str">
        <f t="shared" si="12"/>
        <v>SIEGE CARBON BOLT 15.5" 6er Packung</v>
      </c>
      <c r="V43" s="1" t="str">
        <f t="shared" si="13"/>
        <v>SIEGE CARBON BOLT 15.5" 6er Packung,Accueil,Outdoor plus,Armbrust,Zubehör,Ek Archery,Ek Archery</v>
      </c>
      <c r="W43" s="1">
        <v>1</v>
      </c>
      <c r="X43" s="1">
        <v>1</v>
      </c>
      <c r="Y43" s="1" t="str">
        <f t="shared" si="7"/>
        <v>http://usfh.ch/img/Armbrustzubehör/D-120A1-A.jpg</v>
      </c>
      <c r="Z43" s="1" t="str">
        <f t="shared" si="14"/>
        <v>D-120A1-A</v>
      </c>
      <c r="AA43" s="8">
        <f t="shared" si="15"/>
        <v>177</v>
      </c>
      <c r="AB43" s="8">
        <f t="shared" si="16"/>
        <v>39.599999999999994</v>
      </c>
      <c r="AC43" s="1">
        <v>0.2</v>
      </c>
    </row>
    <row r="44" spans="1:29" ht="15" customHeight="1" x14ac:dyDescent="0.2">
      <c r="A44" s="1">
        <v>43</v>
      </c>
      <c r="B44" s="1"/>
      <c r="C44" s="1"/>
      <c r="D44" s="1"/>
      <c r="E44" s="1"/>
      <c r="F44" s="1">
        <v>12</v>
      </c>
      <c r="G44" s="2" t="s">
        <v>155</v>
      </c>
      <c r="H44" s="1">
        <v>1</v>
      </c>
      <c r="I44" s="7" t="s">
        <v>156</v>
      </c>
      <c r="J44" s="1" t="s">
        <v>36</v>
      </c>
      <c r="K44" s="1"/>
      <c r="L44" s="3">
        <v>91</v>
      </c>
      <c r="M44" s="1">
        <v>53</v>
      </c>
      <c r="N44" s="3">
        <v>44</v>
      </c>
      <c r="O44" s="1" t="str">
        <f t="shared" si="17"/>
        <v>0000362</v>
      </c>
      <c r="P44" s="1" t="s">
        <v>34</v>
      </c>
      <c r="Q44" s="1" t="s">
        <v>34</v>
      </c>
      <c r="R44" s="6"/>
      <c r="S44" s="7" t="s">
        <v>157</v>
      </c>
      <c r="T44" s="1" t="str">
        <f t="shared" ref="T44:T75" si="18">$I44 &amp; "," &amp; $J44 &amp;"," &amp; $P44 &amp;","&amp; $Q44</f>
        <v>Stinger – taktische Lampe inkl. Universalhalterung,Accueil,Outdoor plus,Armbrust,Zubehör,Steambow,Steambow</v>
      </c>
      <c r="U44" s="1" t="str">
        <f t="shared" ref="U44:U75" si="19">I44</f>
        <v>Stinger – taktische Lampe inkl. Universalhalterung</v>
      </c>
      <c r="V44" s="1" t="str">
        <f t="shared" ref="V44:V75" si="20">T44</f>
        <v>Stinger – taktische Lampe inkl. Universalhalterung,Accueil,Outdoor plus,Armbrust,Zubehör,Steambow,Steambow</v>
      </c>
      <c r="W44" s="1">
        <v>1</v>
      </c>
      <c r="X44" s="1">
        <v>1</v>
      </c>
      <c r="Y44" s="1" t="str">
        <f t="shared" si="7"/>
        <v>http://usfh.ch/img/Armbrustzubehör/0000362.jpg</v>
      </c>
      <c r="Z44" s="1" t="str">
        <f t="shared" ref="Z44:Z75" si="21">G44</f>
        <v>0000362</v>
      </c>
      <c r="AA44" s="8">
        <f t="shared" ref="AA44:AA75" si="22">F44*L44</f>
        <v>1092</v>
      </c>
      <c r="AB44" s="8">
        <f t="shared" ref="AB44:AB75" si="23">F44*N44</f>
        <v>528</v>
      </c>
      <c r="AC44" s="1">
        <v>0.3</v>
      </c>
    </row>
    <row r="45" spans="1:29" ht="15" customHeight="1" x14ac:dyDescent="0.2">
      <c r="A45" s="1">
        <v>44</v>
      </c>
      <c r="B45" s="1"/>
      <c r="C45" s="1"/>
      <c r="D45" s="1"/>
      <c r="E45" s="1"/>
      <c r="F45" s="1">
        <v>0</v>
      </c>
      <c r="G45" s="2">
        <v>19555</v>
      </c>
      <c r="H45" s="1">
        <v>1</v>
      </c>
      <c r="I45" s="1" t="s">
        <v>158</v>
      </c>
      <c r="J45" s="1" t="s">
        <v>36</v>
      </c>
      <c r="K45" s="1"/>
      <c r="L45" s="9">
        <v>59</v>
      </c>
      <c r="M45" s="1">
        <v>53</v>
      </c>
      <c r="N45" s="9">
        <v>29.95</v>
      </c>
      <c r="O45" s="1">
        <f t="shared" si="17"/>
        <v>19555</v>
      </c>
      <c r="P45" s="1" t="s">
        <v>22</v>
      </c>
      <c r="Q45" s="1" t="s">
        <v>159</v>
      </c>
      <c r="R45" s="6"/>
      <c r="S45" s="7" t="s">
        <v>160</v>
      </c>
      <c r="T45" s="1" t="str">
        <f t="shared" si="18"/>
        <v>M3 Q5 LED Tactical Illuminator,Accueil,Outdoor plus,Armbrust,Zubehör,Airsoft,Union Fire</v>
      </c>
      <c r="U45" s="1" t="str">
        <f t="shared" si="19"/>
        <v>M3 Q5 LED Tactical Illuminator</v>
      </c>
      <c r="V45" s="1" t="str">
        <f t="shared" si="20"/>
        <v>M3 Q5 LED Tactical Illuminator,Accueil,Outdoor plus,Armbrust,Zubehör,Airsoft,Union Fire</v>
      </c>
      <c r="W45" s="1">
        <v>1</v>
      </c>
      <c r="X45" s="1">
        <v>1</v>
      </c>
      <c r="Y45" s="1" t="str">
        <f t="shared" si="7"/>
        <v>http://usfh.ch/img/Armbrustzubehör/19555.jpg</v>
      </c>
      <c r="Z45" s="1">
        <f t="shared" si="21"/>
        <v>19555</v>
      </c>
      <c r="AA45" s="8">
        <f t="shared" si="22"/>
        <v>0</v>
      </c>
      <c r="AB45" s="8">
        <f t="shared" si="23"/>
        <v>0</v>
      </c>
      <c r="AC45" s="1">
        <v>0.3</v>
      </c>
    </row>
    <row r="46" spans="1:29" ht="15" customHeight="1" x14ac:dyDescent="0.25">
      <c r="A46" s="1">
        <v>45</v>
      </c>
      <c r="B46" s="1"/>
      <c r="C46" s="1"/>
      <c r="D46" s="1"/>
      <c r="E46" s="1"/>
      <c r="F46" s="1">
        <v>43</v>
      </c>
      <c r="G46" s="2" t="s">
        <v>161</v>
      </c>
      <c r="H46" s="1">
        <v>1</v>
      </c>
      <c r="I46" s="1" t="s">
        <v>162</v>
      </c>
      <c r="J46" s="1" t="s">
        <v>36</v>
      </c>
      <c r="K46" s="1"/>
      <c r="L46" s="9">
        <v>69</v>
      </c>
      <c r="M46" s="1">
        <v>53</v>
      </c>
      <c r="N46" s="9">
        <v>17.8</v>
      </c>
      <c r="O46" s="1" t="str">
        <f t="shared" si="17"/>
        <v>A050643</v>
      </c>
      <c r="P46" s="1" t="s">
        <v>28</v>
      </c>
      <c r="Q46" s="1" t="s">
        <v>163</v>
      </c>
      <c r="R46" s="6"/>
      <c r="S46" s="10" t="s">
        <v>164</v>
      </c>
      <c r="T46" s="1" t="str">
        <f t="shared" si="18"/>
        <v>SKYLON X-BOW BOLTS CARBON Ø 8,7 MM 20" MOONNOCK + EINSATZ + SPITZE 6/PCK,Accueil,Outdoor plus,Armbrust,Zubehör,SSA,SKYLON</v>
      </c>
      <c r="U46" s="1" t="str">
        <f t="shared" si="19"/>
        <v>SKYLON X-BOW BOLTS CARBON Ø 8,7 MM 20" MOONNOCK + EINSATZ + SPITZE 6/PCK</v>
      </c>
      <c r="V46" s="1" t="str">
        <f t="shared" si="20"/>
        <v>SKYLON X-BOW BOLTS CARBON Ø 8,7 MM 20" MOONNOCK + EINSATZ + SPITZE 6/PCK,Accueil,Outdoor plus,Armbrust,Zubehör,SSA,SKYLON</v>
      </c>
      <c r="W46" s="1">
        <v>1</v>
      </c>
      <c r="X46" s="1">
        <v>1</v>
      </c>
      <c r="Y46" s="1" t="str">
        <f t="shared" si="7"/>
        <v>http://usfh.ch/img/Armbrustzubehör/A050643.jpg</v>
      </c>
      <c r="Z46" s="1" t="str">
        <f t="shared" si="21"/>
        <v>A050643</v>
      </c>
      <c r="AA46" s="8">
        <f t="shared" si="22"/>
        <v>2967</v>
      </c>
      <c r="AB46" s="8">
        <f t="shared" si="23"/>
        <v>765.4</v>
      </c>
      <c r="AC46" s="1">
        <v>0.25</v>
      </c>
    </row>
    <row r="47" spans="1:29" ht="15" customHeight="1" x14ac:dyDescent="0.25">
      <c r="A47" s="1">
        <v>46</v>
      </c>
      <c r="B47" s="1"/>
      <c r="C47" s="1"/>
      <c r="D47" s="1"/>
      <c r="E47" s="1"/>
      <c r="F47" s="1">
        <v>0</v>
      </c>
      <c r="G47" s="2" t="s">
        <v>165</v>
      </c>
      <c r="H47" s="1">
        <v>1</v>
      </c>
      <c r="I47" s="1" t="s">
        <v>166</v>
      </c>
      <c r="J47" s="1" t="s">
        <v>36</v>
      </c>
      <c r="K47" s="1"/>
      <c r="L47" s="9">
        <v>69</v>
      </c>
      <c r="M47" s="1">
        <v>53</v>
      </c>
      <c r="N47" s="9">
        <v>38.5</v>
      </c>
      <c r="O47" s="1" t="str">
        <f t="shared" si="17"/>
        <v>SKU0000426</v>
      </c>
      <c r="P47" s="1" t="s">
        <v>34</v>
      </c>
      <c r="Q47" s="1" t="s">
        <v>34</v>
      </c>
      <c r="R47" s="6"/>
      <c r="S47" s="11" t="s">
        <v>167</v>
      </c>
      <c r="T47" s="1" t="str">
        <f t="shared" si="18"/>
        <v>Stinger Pfeilfangmatte,Accueil,Outdoor plus,Armbrust,Zubehör,Steambow,Steambow</v>
      </c>
      <c r="U47" s="1" t="str">
        <f t="shared" si="19"/>
        <v>Stinger Pfeilfangmatte</v>
      </c>
      <c r="V47" s="1" t="str">
        <f t="shared" si="20"/>
        <v>Stinger Pfeilfangmatte,Accueil,Outdoor plus,Armbrust,Zubehör,Steambow,Steambow</v>
      </c>
      <c r="W47" s="1">
        <v>1</v>
      </c>
      <c r="X47" s="1">
        <v>1</v>
      </c>
      <c r="Y47" s="1" t="str">
        <f t="shared" si="7"/>
        <v>http://usfh.ch/img/Armbrustzubehör/SKU0000426.jpg</v>
      </c>
      <c r="Z47" s="1" t="str">
        <f t="shared" si="21"/>
        <v>SKU0000426</v>
      </c>
      <c r="AA47" s="8">
        <f t="shared" si="22"/>
        <v>0</v>
      </c>
      <c r="AB47" s="8">
        <f t="shared" si="23"/>
        <v>0</v>
      </c>
      <c r="AC47" s="1">
        <v>10</v>
      </c>
    </row>
    <row r="48" spans="1:29" ht="15" customHeight="1" x14ac:dyDescent="0.25">
      <c r="A48" s="1">
        <v>47</v>
      </c>
      <c r="B48" s="1"/>
      <c r="C48" s="1"/>
      <c r="D48" s="1"/>
      <c r="E48" s="1"/>
      <c r="F48" s="1">
        <v>0</v>
      </c>
      <c r="G48" s="2" t="s">
        <v>168</v>
      </c>
      <c r="H48" s="1">
        <v>1</v>
      </c>
      <c r="I48" s="1" t="s">
        <v>169</v>
      </c>
      <c r="J48" s="1" t="s">
        <v>36</v>
      </c>
      <c r="K48" s="1"/>
      <c r="L48" s="9">
        <v>119</v>
      </c>
      <c r="M48" s="1">
        <v>53</v>
      </c>
      <c r="N48" s="9">
        <v>52</v>
      </c>
      <c r="O48" s="1" t="str">
        <f t="shared" si="17"/>
        <v>A017202</v>
      </c>
      <c r="P48" s="1" t="s">
        <v>28</v>
      </c>
      <c r="Q48" s="1" t="s">
        <v>32</v>
      </c>
      <c r="R48" s="6"/>
      <c r="S48" s="11" t="s">
        <v>170</v>
      </c>
      <c r="T48" s="1" t="str">
        <f t="shared" si="18"/>
        <v>RAVIN CROSSBOW BOLTS CARBON RAVIN WITH ORANGE NOCKS .003 6/PACK,Accueil,Outdoor plus,Armbrust,Zubehör,SSA,Ravin</v>
      </c>
      <c r="U48" s="1" t="str">
        <f t="shared" si="19"/>
        <v>RAVIN CROSSBOW BOLTS CARBON RAVIN WITH ORANGE NOCKS .003 6/PACK</v>
      </c>
      <c r="V48" s="1" t="str">
        <f t="shared" si="20"/>
        <v>RAVIN CROSSBOW BOLTS CARBON RAVIN WITH ORANGE NOCKS .003 6/PACK,Accueil,Outdoor plus,Armbrust,Zubehör,SSA,Ravin</v>
      </c>
      <c r="W48" s="1">
        <v>1</v>
      </c>
      <c r="X48" s="1">
        <v>1</v>
      </c>
      <c r="Y48" s="1" t="str">
        <f t="shared" si="7"/>
        <v>http://usfh.ch/img/Armbrustzubehör/A017202.jpg</v>
      </c>
      <c r="Z48" s="1" t="str">
        <f t="shared" si="21"/>
        <v>A017202</v>
      </c>
      <c r="AA48" s="8">
        <f t="shared" si="22"/>
        <v>0</v>
      </c>
      <c r="AB48" s="8">
        <f t="shared" si="23"/>
        <v>0</v>
      </c>
      <c r="AC48" s="1">
        <v>0.25</v>
      </c>
    </row>
    <row r="49" spans="1:29" ht="15" customHeight="1" x14ac:dyDescent="0.25">
      <c r="A49" s="1">
        <v>48</v>
      </c>
      <c r="B49" s="1"/>
      <c r="C49" s="1"/>
      <c r="D49" s="1"/>
      <c r="E49" s="1"/>
      <c r="F49" s="1">
        <v>6</v>
      </c>
      <c r="G49" s="2" t="s">
        <v>171</v>
      </c>
      <c r="H49" s="1">
        <v>1</v>
      </c>
      <c r="I49" s="1" t="s">
        <v>172</v>
      </c>
      <c r="J49" s="1" t="s">
        <v>36</v>
      </c>
      <c r="K49" s="1"/>
      <c r="L49" s="9">
        <v>47</v>
      </c>
      <c r="M49" s="1">
        <v>53</v>
      </c>
      <c r="N49" s="9">
        <v>20.3</v>
      </c>
      <c r="O49" s="1" t="str">
        <f t="shared" si="17"/>
        <v>A055942</v>
      </c>
      <c r="P49" s="1" t="s">
        <v>28</v>
      </c>
      <c r="Q49" s="1" t="s">
        <v>33</v>
      </c>
      <c r="R49" s="6"/>
      <c r="S49" s="11" t="s">
        <v>173</v>
      </c>
      <c r="T49" s="1" t="str">
        <f t="shared" si="18"/>
        <v>MAXIMAL XBOW ADJUSTABLE CROSSBOW BI-POD,Accueil,Outdoor plus,Armbrust,Zubehör,SSA,Maximal</v>
      </c>
      <c r="U49" s="1" t="str">
        <f t="shared" si="19"/>
        <v>MAXIMAL XBOW ADJUSTABLE CROSSBOW BI-POD</v>
      </c>
      <c r="V49" s="1" t="str">
        <f t="shared" si="20"/>
        <v>MAXIMAL XBOW ADJUSTABLE CROSSBOW BI-POD,Accueil,Outdoor plus,Armbrust,Zubehör,SSA,Maximal</v>
      </c>
      <c r="W49" s="1">
        <v>1</v>
      </c>
      <c r="X49" s="1">
        <v>1</v>
      </c>
      <c r="Y49" s="1" t="str">
        <f t="shared" si="7"/>
        <v>http://usfh.ch/img/Armbrustzubehör/A055942.jpg</v>
      </c>
      <c r="Z49" s="1" t="str">
        <f t="shared" si="21"/>
        <v>A055942</v>
      </c>
      <c r="AA49" s="8">
        <f t="shared" si="22"/>
        <v>282</v>
      </c>
      <c r="AB49" s="8">
        <f t="shared" si="23"/>
        <v>121.80000000000001</v>
      </c>
      <c r="AC49" s="1">
        <v>0.5</v>
      </c>
    </row>
    <row r="50" spans="1:29" ht="15" customHeight="1" x14ac:dyDescent="0.25">
      <c r="A50" s="1">
        <v>49</v>
      </c>
      <c r="B50" s="1"/>
      <c r="C50" s="1"/>
      <c r="D50" s="1"/>
      <c r="E50" s="1"/>
      <c r="F50" s="1">
        <v>1</v>
      </c>
      <c r="G50" s="2" t="s">
        <v>174</v>
      </c>
      <c r="H50" s="1">
        <v>1</v>
      </c>
      <c r="I50" s="1" t="s">
        <v>175</v>
      </c>
      <c r="J50" s="1" t="s">
        <v>36</v>
      </c>
      <c r="K50" s="1"/>
      <c r="L50" s="9">
        <v>131</v>
      </c>
      <c r="M50" s="1">
        <v>53</v>
      </c>
      <c r="N50" s="9">
        <v>56.55</v>
      </c>
      <c r="O50" s="1" t="str">
        <f t="shared" si="17"/>
        <v>A054553</v>
      </c>
      <c r="P50" s="1" t="s">
        <v>28</v>
      </c>
      <c r="Q50" s="1" t="s">
        <v>176</v>
      </c>
      <c r="R50" s="6"/>
      <c r="S50" s="11" t="s">
        <v>177</v>
      </c>
      <c r="T50" s="1" t="str">
        <f t="shared" si="18"/>
        <v>KILLER INSTINCT Hypr Swat - Carbonbolzen - 22 Zoll - 6er Pack,Accueil,Outdoor plus,Armbrust,Zubehör,SSA,Killer Instinct</v>
      </c>
      <c r="U50" s="1" t="str">
        <f t="shared" si="19"/>
        <v>KILLER INSTINCT Hypr Swat - Carbonbolzen - 22 Zoll - 6er Pack</v>
      </c>
      <c r="V50" s="1" t="str">
        <f t="shared" si="20"/>
        <v>KILLER INSTINCT Hypr Swat - Carbonbolzen - 22 Zoll - 6er Pack,Accueil,Outdoor plus,Armbrust,Zubehör,SSA,Killer Instinct</v>
      </c>
      <c r="W50" s="1">
        <v>1</v>
      </c>
      <c r="X50" s="1">
        <v>1</v>
      </c>
      <c r="Y50" s="1" t="str">
        <f t="shared" si="7"/>
        <v>http://usfh.ch/img/Armbrustzubehör/A054553.jpg</v>
      </c>
      <c r="Z50" s="1" t="str">
        <f t="shared" si="21"/>
        <v>A054553</v>
      </c>
      <c r="AA50" s="8">
        <f t="shared" si="22"/>
        <v>131</v>
      </c>
      <c r="AB50" s="8">
        <f t="shared" si="23"/>
        <v>56.55</v>
      </c>
      <c r="AC50" s="1">
        <v>0.25</v>
      </c>
    </row>
    <row r="51" spans="1:29" ht="15" customHeight="1" x14ac:dyDescent="0.25">
      <c r="A51" s="1">
        <v>50</v>
      </c>
      <c r="B51" s="1"/>
      <c r="C51" s="1"/>
      <c r="D51" s="1"/>
      <c r="E51" s="1"/>
      <c r="F51" s="1">
        <v>0</v>
      </c>
      <c r="G51" s="2" t="s">
        <v>178</v>
      </c>
      <c r="H51" s="1">
        <v>1</v>
      </c>
      <c r="I51" s="1" t="s">
        <v>179</v>
      </c>
      <c r="J51" s="1" t="s">
        <v>36</v>
      </c>
      <c r="K51" s="1"/>
      <c r="L51" s="9">
        <v>139</v>
      </c>
      <c r="M51" s="1">
        <v>53</v>
      </c>
      <c r="N51" s="9">
        <v>69</v>
      </c>
      <c r="O51" s="1" t="str">
        <f t="shared" si="17"/>
        <v>B10044A</v>
      </c>
      <c r="P51" s="1" t="s">
        <v>27</v>
      </c>
      <c r="Q51" s="1" t="s">
        <v>27</v>
      </c>
      <c r="R51" s="6"/>
      <c r="S51" s="11" t="s">
        <v>180</v>
      </c>
      <c r="T51" s="1" t="str">
        <f t="shared" si="18"/>
        <v>7 Schuss Adder Magazin Set 2.0 Version,Accueil,Outdoor plus,Armbrust,Zubehör,Ek Archery,Ek Archery</v>
      </c>
      <c r="U51" s="1" t="str">
        <f t="shared" si="19"/>
        <v>7 Schuss Adder Magazin Set 2.0 Version</v>
      </c>
      <c r="V51" s="1" t="str">
        <f t="shared" si="20"/>
        <v>7 Schuss Adder Magazin Set 2.0 Version,Accueil,Outdoor plus,Armbrust,Zubehör,Ek Archery,Ek Archery</v>
      </c>
      <c r="W51" s="1">
        <v>1</v>
      </c>
      <c r="X51" s="1">
        <v>1</v>
      </c>
      <c r="Y51" s="1" t="str">
        <f t="shared" si="7"/>
        <v>http://usfh.ch/img/Armbrustzubehör/B10044A.jpg</v>
      </c>
      <c r="Z51" s="1" t="str">
        <f t="shared" si="21"/>
        <v>B10044A</v>
      </c>
      <c r="AA51" s="8">
        <f t="shared" si="22"/>
        <v>0</v>
      </c>
      <c r="AB51" s="8">
        <f t="shared" si="23"/>
        <v>0</v>
      </c>
      <c r="AC51" s="1">
        <v>1</v>
      </c>
    </row>
    <row r="52" spans="1:29" ht="15" customHeight="1" x14ac:dyDescent="0.2">
      <c r="A52" s="1">
        <v>51</v>
      </c>
      <c r="B52" s="1"/>
      <c r="C52" s="1"/>
      <c r="D52" s="1"/>
      <c r="E52" s="1"/>
      <c r="F52" s="1">
        <v>1</v>
      </c>
      <c r="G52" s="2" t="s">
        <v>181</v>
      </c>
      <c r="H52" s="1">
        <v>1</v>
      </c>
      <c r="I52" s="1" t="s">
        <v>182</v>
      </c>
      <c r="J52" s="1" t="s">
        <v>36</v>
      </c>
      <c r="K52" s="1"/>
      <c r="L52" s="9">
        <v>69</v>
      </c>
      <c r="M52" s="1">
        <v>53</v>
      </c>
      <c r="N52" s="9">
        <v>22.4</v>
      </c>
      <c r="O52" s="1" t="str">
        <f t="shared" si="17"/>
        <v>B10030</v>
      </c>
      <c r="P52" s="1" t="s">
        <v>27</v>
      </c>
      <c r="Q52" s="1" t="s">
        <v>27</v>
      </c>
      <c r="R52" s="6"/>
      <c r="S52" s="1" t="s">
        <v>182</v>
      </c>
      <c r="T52" s="1" t="str">
        <f t="shared" si="18"/>
        <v>Compound Bogentasche,Accueil,Outdoor plus,Armbrust,Zubehör,Ek Archery,Ek Archery</v>
      </c>
      <c r="U52" s="1" t="str">
        <f t="shared" si="19"/>
        <v>Compound Bogentasche</v>
      </c>
      <c r="V52" s="1" t="str">
        <f t="shared" si="20"/>
        <v>Compound Bogentasche,Accueil,Outdoor plus,Armbrust,Zubehör,Ek Archery,Ek Archery</v>
      </c>
      <c r="W52" s="1">
        <v>1</v>
      </c>
      <c r="X52" s="1">
        <v>1</v>
      </c>
      <c r="Y52" s="1" t="str">
        <f t="shared" si="7"/>
        <v>http://usfh.ch/img/Armbrustzubehör/B10030.jpg</v>
      </c>
      <c r="Z52" s="1" t="str">
        <f t="shared" si="21"/>
        <v>B10030</v>
      </c>
      <c r="AA52" s="8">
        <f t="shared" si="22"/>
        <v>69</v>
      </c>
      <c r="AB52" s="8">
        <f t="shared" si="23"/>
        <v>22.4</v>
      </c>
      <c r="AC52" s="1">
        <v>0.5</v>
      </c>
    </row>
    <row r="53" spans="1:29" ht="15" customHeight="1" x14ac:dyDescent="0.2">
      <c r="A53" s="1">
        <v>52</v>
      </c>
      <c r="B53" s="1"/>
      <c r="C53" s="1"/>
      <c r="D53" s="1"/>
      <c r="E53" s="1"/>
      <c r="F53" s="1">
        <v>2</v>
      </c>
      <c r="G53" s="2" t="s">
        <v>183</v>
      </c>
      <c r="H53" s="1">
        <v>1</v>
      </c>
      <c r="I53" s="1" t="s">
        <v>184</v>
      </c>
      <c r="J53" s="1" t="s">
        <v>36</v>
      </c>
      <c r="K53" s="1"/>
      <c r="L53" s="9">
        <v>79</v>
      </c>
      <c r="M53" s="1">
        <v>53</v>
      </c>
      <c r="N53" s="9">
        <v>36</v>
      </c>
      <c r="O53" s="1" t="str">
        <f t="shared" si="17"/>
        <v>0000469</v>
      </c>
      <c r="P53" s="1" t="s">
        <v>34</v>
      </c>
      <c r="Q53" s="1" t="s">
        <v>34</v>
      </c>
      <c r="R53" s="6"/>
      <c r="S53" s="1" t="s">
        <v>185</v>
      </c>
      <c r="T53" s="1" t="str">
        <f t="shared" si="18"/>
        <v>AR-6 Stinger II Klappschaft-Adapter,Accueil,Outdoor plus,Armbrust,Zubehör,Steambow,Steambow</v>
      </c>
      <c r="U53" s="1" t="str">
        <f t="shared" si="19"/>
        <v>AR-6 Stinger II Klappschaft-Adapter</v>
      </c>
      <c r="V53" s="1" t="str">
        <f t="shared" si="20"/>
        <v>AR-6 Stinger II Klappschaft-Adapter,Accueil,Outdoor plus,Armbrust,Zubehör,Steambow,Steambow</v>
      </c>
      <c r="W53" s="1">
        <v>1</v>
      </c>
      <c r="X53" s="1">
        <v>1</v>
      </c>
      <c r="Y53" s="1" t="str">
        <f t="shared" si="7"/>
        <v>http://usfh.ch/img/Armbrustzubehör/0000469.jpg</v>
      </c>
      <c r="Z53" s="1" t="str">
        <f t="shared" si="21"/>
        <v>0000469</v>
      </c>
      <c r="AA53" s="8">
        <f t="shared" si="22"/>
        <v>158</v>
      </c>
      <c r="AB53" s="8">
        <f t="shared" si="23"/>
        <v>72</v>
      </c>
      <c r="AC53" s="1">
        <v>0.3</v>
      </c>
    </row>
    <row r="54" spans="1:29" ht="15" customHeight="1" x14ac:dyDescent="0.2">
      <c r="A54" s="1">
        <v>53</v>
      </c>
      <c r="B54" s="1"/>
      <c r="C54" s="1"/>
      <c r="D54" s="1"/>
      <c r="E54" s="1"/>
      <c r="F54" s="1">
        <v>0</v>
      </c>
      <c r="G54" s="2" t="s">
        <v>186</v>
      </c>
      <c r="H54" s="1">
        <v>1</v>
      </c>
      <c r="I54" s="1" t="s">
        <v>187</v>
      </c>
      <c r="J54" s="1" t="s">
        <v>36</v>
      </c>
      <c r="K54" s="1"/>
      <c r="L54" s="9">
        <v>255</v>
      </c>
      <c r="M54" s="1">
        <v>53</v>
      </c>
      <c r="N54" s="9">
        <v>119</v>
      </c>
      <c r="O54" s="1" t="str">
        <f t="shared" si="17"/>
        <v>28328</v>
      </c>
      <c r="P54" s="1" t="s">
        <v>22</v>
      </c>
      <c r="Q54" s="1" t="s">
        <v>188</v>
      </c>
      <c r="R54" s="6"/>
      <c r="S54" s="7" t="s">
        <v>189</v>
      </c>
      <c r="T54" s="1" t="str">
        <f t="shared" si="18"/>
        <v>4x32IR Combo Combat Scope,Accueil,Outdoor plus,Armbrust,Zubehör,Airsoft,Aim-O</v>
      </c>
      <c r="U54" s="1" t="str">
        <f t="shared" si="19"/>
        <v>4x32IR Combo Combat Scope</v>
      </c>
      <c r="V54" s="1" t="str">
        <f t="shared" si="20"/>
        <v>4x32IR Combo Combat Scope,Accueil,Outdoor plus,Armbrust,Zubehör,Airsoft,Aim-O</v>
      </c>
      <c r="W54" s="1">
        <v>1</v>
      </c>
      <c r="X54" s="1">
        <v>1</v>
      </c>
      <c r="Y54" s="1" t="str">
        <f t="shared" si="7"/>
        <v>http://usfh.ch/img/Armbrustzubehör/28328.jpg</v>
      </c>
      <c r="Z54" s="1" t="str">
        <f t="shared" si="21"/>
        <v>28328</v>
      </c>
      <c r="AA54" s="8">
        <f t="shared" si="22"/>
        <v>0</v>
      </c>
      <c r="AB54" s="8">
        <f t="shared" si="23"/>
        <v>0</v>
      </c>
      <c r="AC54" s="1">
        <v>0.5</v>
      </c>
    </row>
    <row r="55" spans="1:29" ht="15" customHeight="1" x14ac:dyDescent="0.2">
      <c r="A55" s="1">
        <v>54</v>
      </c>
      <c r="B55" s="1"/>
      <c r="C55" s="1"/>
      <c r="D55" s="1"/>
      <c r="E55" s="1"/>
      <c r="F55" s="1">
        <v>0</v>
      </c>
      <c r="G55" s="2" t="s">
        <v>190</v>
      </c>
      <c r="H55" s="1">
        <v>1</v>
      </c>
      <c r="I55" s="1" t="s">
        <v>191</v>
      </c>
      <c r="J55" s="1" t="s">
        <v>36</v>
      </c>
      <c r="K55" s="1"/>
      <c r="L55" s="9">
        <v>165</v>
      </c>
      <c r="M55" s="1">
        <v>53</v>
      </c>
      <c r="N55" s="9">
        <v>81</v>
      </c>
      <c r="O55" s="1" t="str">
        <f t="shared" si="17"/>
        <v>28326</v>
      </c>
      <c r="P55" s="1" t="s">
        <v>22</v>
      </c>
      <c r="Q55" s="1" t="s">
        <v>188</v>
      </c>
      <c r="R55" s="6"/>
      <c r="S55" s="7" t="s">
        <v>192</v>
      </c>
      <c r="T55" s="1" t="str">
        <f t="shared" si="18"/>
        <v>4x32IR QD Combat Scope,Accueil,Outdoor plus,Armbrust,Zubehör,Airsoft,Aim-O</v>
      </c>
      <c r="U55" s="1" t="str">
        <f t="shared" si="19"/>
        <v>4x32IR QD Combat Scope</v>
      </c>
      <c r="V55" s="1" t="str">
        <f t="shared" si="20"/>
        <v>4x32IR QD Combat Scope,Accueil,Outdoor plus,Armbrust,Zubehör,Airsoft,Aim-O</v>
      </c>
      <c r="W55" s="1">
        <v>1</v>
      </c>
      <c r="X55" s="1">
        <v>1</v>
      </c>
      <c r="Y55" s="1" t="str">
        <f t="shared" si="7"/>
        <v>http://usfh.ch/img/Armbrustzubehör/28326.jpg</v>
      </c>
      <c r="Z55" s="1" t="str">
        <f t="shared" si="21"/>
        <v>28326</v>
      </c>
      <c r="AA55" s="8">
        <f t="shared" si="22"/>
        <v>0</v>
      </c>
      <c r="AB55" s="8">
        <f t="shared" si="23"/>
        <v>0</v>
      </c>
      <c r="AC55" s="1">
        <v>0.5</v>
      </c>
    </row>
    <row r="56" spans="1:29" ht="15" customHeight="1" x14ac:dyDescent="0.2">
      <c r="A56" s="1">
        <v>55</v>
      </c>
      <c r="B56" s="1"/>
      <c r="C56" s="1"/>
      <c r="D56" s="1"/>
      <c r="E56" s="1"/>
      <c r="F56" s="1">
        <v>0</v>
      </c>
      <c r="G56" s="2" t="s">
        <v>193</v>
      </c>
      <c r="H56" s="1">
        <v>1</v>
      </c>
      <c r="I56" s="1" t="s">
        <v>194</v>
      </c>
      <c r="J56" s="1" t="s">
        <v>36</v>
      </c>
      <c r="K56" s="1"/>
      <c r="L56" s="9">
        <v>275</v>
      </c>
      <c r="M56" s="1">
        <v>53</v>
      </c>
      <c r="N56" s="9">
        <v>121</v>
      </c>
      <c r="O56" s="1" t="str">
        <f t="shared" si="17"/>
        <v>28330</v>
      </c>
      <c r="P56" s="1" t="s">
        <v>22</v>
      </c>
      <c r="Q56" s="1" t="s">
        <v>188</v>
      </c>
      <c r="R56" s="6"/>
      <c r="S56" s="7" t="s">
        <v>195</v>
      </c>
      <c r="T56" s="1" t="str">
        <f t="shared" si="18"/>
        <v>4x32IR QD Combo Combat Scope,Accueil,Outdoor plus,Armbrust,Zubehör,Airsoft,Aim-O</v>
      </c>
      <c r="U56" s="1" t="str">
        <f t="shared" si="19"/>
        <v>4x32IR QD Combo Combat Scope</v>
      </c>
      <c r="V56" s="1" t="str">
        <f t="shared" si="20"/>
        <v>4x32IR QD Combo Combat Scope,Accueil,Outdoor plus,Armbrust,Zubehör,Airsoft,Aim-O</v>
      </c>
      <c r="W56" s="1">
        <v>1</v>
      </c>
      <c r="X56" s="1">
        <v>1</v>
      </c>
      <c r="Y56" s="1" t="str">
        <f t="shared" si="7"/>
        <v>http://usfh.ch/img/Armbrustzubehör/28330.jpg</v>
      </c>
      <c r="Z56" s="1" t="str">
        <f t="shared" si="21"/>
        <v>28330</v>
      </c>
      <c r="AA56" s="8">
        <f t="shared" si="22"/>
        <v>0</v>
      </c>
      <c r="AB56" s="8">
        <f t="shared" si="23"/>
        <v>0</v>
      </c>
      <c r="AC56" s="1">
        <v>0.5</v>
      </c>
    </row>
    <row r="57" spans="1:29" ht="15" customHeight="1" x14ac:dyDescent="0.2">
      <c r="A57" s="1">
        <v>56</v>
      </c>
      <c r="B57" s="1"/>
      <c r="C57" s="1"/>
      <c r="D57" s="1"/>
      <c r="E57" s="1"/>
      <c r="F57" s="1">
        <v>1</v>
      </c>
      <c r="G57" s="2" t="s">
        <v>289</v>
      </c>
      <c r="H57" s="1">
        <v>1</v>
      </c>
      <c r="I57" s="1" t="s">
        <v>299</v>
      </c>
      <c r="J57" s="1" t="s">
        <v>36</v>
      </c>
      <c r="K57" s="1"/>
      <c r="L57" s="9">
        <v>145</v>
      </c>
      <c r="M57" s="1">
        <v>53</v>
      </c>
      <c r="N57" s="9">
        <v>71</v>
      </c>
      <c r="O57" s="1" t="str">
        <f t="shared" si="17"/>
        <v>10251106000</v>
      </c>
      <c r="P57" s="1" t="s">
        <v>22</v>
      </c>
      <c r="Q57" s="1" t="s">
        <v>188</v>
      </c>
      <c r="R57" s="6"/>
      <c r="S57" s="7" t="s">
        <v>192</v>
      </c>
      <c r="T57" s="1" t="str">
        <f t="shared" si="18"/>
        <v>4x32IR Combat Scope 9315,Accueil,Outdoor plus,Armbrust,Zubehör,Airsoft,Aim-O</v>
      </c>
      <c r="U57" s="1" t="str">
        <f t="shared" si="19"/>
        <v>4x32IR Combat Scope 9315</v>
      </c>
      <c r="V57" s="1" t="str">
        <f t="shared" si="20"/>
        <v>4x32IR Combat Scope 9315,Accueil,Outdoor plus,Armbrust,Zubehör,Airsoft,Aim-O</v>
      </c>
      <c r="W57" s="1">
        <v>1</v>
      </c>
      <c r="X57" s="1">
        <v>1</v>
      </c>
      <c r="Y57" s="1" t="str">
        <f t="shared" si="7"/>
        <v>http://usfh.ch/img/Armbrustzubehör/10251106000.jpg</v>
      </c>
      <c r="Z57" s="1" t="str">
        <f t="shared" si="21"/>
        <v>10251106000</v>
      </c>
      <c r="AA57" s="8">
        <f t="shared" si="22"/>
        <v>145</v>
      </c>
      <c r="AB57" s="8">
        <f t="shared" si="23"/>
        <v>71</v>
      </c>
      <c r="AC57" s="1">
        <v>0.5</v>
      </c>
    </row>
    <row r="58" spans="1:29" ht="15" customHeight="1" x14ac:dyDescent="0.2">
      <c r="A58" s="1">
        <v>57</v>
      </c>
      <c r="B58" s="1"/>
      <c r="C58" s="1"/>
      <c r="D58" s="1"/>
      <c r="E58" s="1"/>
      <c r="F58" s="1">
        <v>1</v>
      </c>
      <c r="G58" s="2" t="s">
        <v>196</v>
      </c>
      <c r="H58" s="1">
        <v>1</v>
      </c>
      <c r="I58" s="1" t="s">
        <v>197</v>
      </c>
      <c r="J58" s="1" t="s">
        <v>36</v>
      </c>
      <c r="K58" s="1"/>
      <c r="L58" s="9">
        <v>59</v>
      </c>
      <c r="M58" s="1">
        <v>53</v>
      </c>
      <c r="N58" s="9">
        <v>23.5</v>
      </c>
      <c r="O58" s="1" t="str">
        <f t="shared" si="17"/>
        <v>0000541</v>
      </c>
      <c r="P58" s="1" t="s">
        <v>34</v>
      </c>
      <c r="Q58" s="1" t="s">
        <v>34</v>
      </c>
      <c r="R58" s="6"/>
      <c r="S58" s="7" t="s">
        <v>198</v>
      </c>
      <c r="T58" s="1" t="str">
        <f t="shared" si="18"/>
        <v>AR-6 Stinger II Upgrade-Kit “Schnellwechsel-Wurfarme”,Accueil,Outdoor plus,Armbrust,Zubehör,Steambow,Steambow</v>
      </c>
      <c r="U58" s="1" t="str">
        <f t="shared" si="19"/>
        <v>AR-6 Stinger II Upgrade-Kit “Schnellwechsel-Wurfarme”</v>
      </c>
      <c r="V58" s="1" t="str">
        <f t="shared" si="20"/>
        <v>AR-6 Stinger II Upgrade-Kit “Schnellwechsel-Wurfarme”,Accueil,Outdoor plus,Armbrust,Zubehör,Steambow,Steambow</v>
      </c>
      <c r="W58" s="1">
        <v>1</v>
      </c>
      <c r="X58" s="1">
        <v>1</v>
      </c>
      <c r="Y58" s="1" t="str">
        <f t="shared" si="7"/>
        <v>http://usfh.ch/img/Armbrustzubehör/0000541.jpg</v>
      </c>
      <c r="Z58" s="1" t="str">
        <f t="shared" si="21"/>
        <v>0000541</v>
      </c>
      <c r="AA58" s="8">
        <f t="shared" si="22"/>
        <v>59</v>
      </c>
      <c r="AB58" s="8">
        <f t="shared" si="23"/>
        <v>23.5</v>
      </c>
      <c r="AC58" s="1">
        <v>0.3</v>
      </c>
    </row>
    <row r="59" spans="1:29" ht="15" customHeight="1" x14ac:dyDescent="0.2">
      <c r="A59" s="1">
        <v>58</v>
      </c>
      <c r="B59" s="1"/>
      <c r="C59" s="1"/>
      <c r="D59" s="1"/>
      <c r="E59" s="1"/>
      <c r="F59" s="1">
        <v>4</v>
      </c>
      <c r="G59" s="2" t="s">
        <v>199</v>
      </c>
      <c r="H59" s="1">
        <v>1</v>
      </c>
      <c r="I59" s="1" t="s">
        <v>200</v>
      </c>
      <c r="J59" s="1" t="s">
        <v>36</v>
      </c>
      <c r="K59" s="1"/>
      <c r="L59" s="9">
        <v>19</v>
      </c>
      <c r="M59" s="1">
        <v>53</v>
      </c>
      <c r="N59" s="9">
        <v>4.8</v>
      </c>
      <c r="O59" s="1" t="str">
        <f t="shared" si="17"/>
        <v>0000539</v>
      </c>
      <c r="P59" s="1" t="s">
        <v>34</v>
      </c>
      <c r="Q59" s="1" t="s">
        <v>34</v>
      </c>
      <c r="R59" s="6"/>
      <c r="S59" s="7" t="s">
        <v>201</v>
      </c>
      <c r="T59" s="1" t="str">
        <f t="shared" si="18"/>
        <v>AR-6 Stinger II – Magazindeckel für Zielfernrohrmontage inkl. Feder,Accueil,Outdoor plus,Armbrust,Zubehör,Steambow,Steambow</v>
      </c>
      <c r="U59" s="1" t="str">
        <f t="shared" si="19"/>
        <v>AR-6 Stinger II – Magazindeckel für Zielfernrohrmontage inkl. Feder</v>
      </c>
      <c r="V59" s="1" t="str">
        <f t="shared" si="20"/>
        <v>AR-6 Stinger II – Magazindeckel für Zielfernrohrmontage inkl. Feder,Accueil,Outdoor plus,Armbrust,Zubehör,Steambow,Steambow</v>
      </c>
      <c r="W59" s="1">
        <v>1</v>
      </c>
      <c r="X59" s="1">
        <v>1</v>
      </c>
      <c r="Y59" s="1" t="str">
        <f t="shared" si="7"/>
        <v>http://usfh.ch/img/Armbrustzubehör/0000539.jpg</v>
      </c>
      <c r="Z59" s="1" t="str">
        <f t="shared" si="21"/>
        <v>0000539</v>
      </c>
      <c r="AA59" s="8">
        <f t="shared" si="22"/>
        <v>76</v>
      </c>
      <c r="AB59" s="8">
        <f t="shared" si="23"/>
        <v>19.2</v>
      </c>
      <c r="AC59" s="1">
        <v>0.3</v>
      </c>
    </row>
    <row r="60" spans="1:29" ht="15" customHeight="1" x14ac:dyDescent="0.2">
      <c r="A60" s="1">
        <v>59</v>
      </c>
      <c r="B60" s="1"/>
      <c r="C60" s="1"/>
      <c r="D60" s="1"/>
      <c r="E60" s="1"/>
      <c r="F60" s="1">
        <v>2</v>
      </c>
      <c r="G60" s="2" t="s">
        <v>288</v>
      </c>
      <c r="H60" s="1">
        <v>1</v>
      </c>
      <c r="I60" s="1" t="s">
        <v>298</v>
      </c>
      <c r="J60" s="1" t="s">
        <v>36</v>
      </c>
      <c r="K60" s="1"/>
      <c r="L60" s="9">
        <v>155</v>
      </c>
      <c r="M60" s="1">
        <v>53</v>
      </c>
      <c r="N60" s="9">
        <v>76.739999999999995</v>
      </c>
      <c r="O60" s="1" t="str">
        <f t="shared" si="17"/>
        <v>10720706000</v>
      </c>
      <c r="P60" s="1" t="s">
        <v>22</v>
      </c>
      <c r="Q60" s="1" t="s">
        <v>188</v>
      </c>
      <c r="R60" s="6"/>
      <c r="S60" s="7" t="s">
        <v>202</v>
      </c>
      <c r="T60" s="1" t="str">
        <f t="shared" si="18"/>
        <v>4x32C Combat Scope Fiber 24386,Accueil,Outdoor plus,Armbrust,Zubehör,Airsoft,Aim-O</v>
      </c>
      <c r="U60" s="1" t="str">
        <f t="shared" si="19"/>
        <v>4x32C Combat Scope Fiber 24386</v>
      </c>
      <c r="V60" s="1" t="str">
        <f t="shared" si="20"/>
        <v>4x32C Combat Scope Fiber 24386,Accueil,Outdoor plus,Armbrust,Zubehör,Airsoft,Aim-O</v>
      </c>
      <c r="W60" s="1">
        <v>1</v>
      </c>
      <c r="X60" s="1">
        <v>1</v>
      </c>
      <c r="Y60" s="1" t="str">
        <f t="shared" si="7"/>
        <v>http://usfh.ch/img/Armbrustzubehör/10720706000.jpg</v>
      </c>
      <c r="Z60" s="1" t="str">
        <f t="shared" si="21"/>
        <v>10720706000</v>
      </c>
      <c r="AA60" s="8">
        <f t="shared" si="22"/>
        <v>310</v>
      </c>
      <c r="AB60" s="8">
        <f t="shared" si="23"/>
        <v>153.47999999999999</v>
      </c>
      <c r="AC60" s="1">
        <v>0.5</v>
      </c>
    </row>
    <row r="61" spans="1:29" ht="15" customHeight="1" x14ac:dyDescent="0.2">
      <c r="A61" s="1">
        <v>60</v>
      </c>
      <c r="B61" s="1"/>
      <c r="C61" s="1"/>
      <c r="D61" s="1"/>
      <c r="E61" s="1"/>
      <c r="F61" s="1">
        <v>1</v>
      </c>
      <c r="G61" s="2" t="s">
        <v>346</v>
      </c>
      <c r="H61" s="1">
        <v>1</v>
      </c>
      <c r="I61" s="1" t="s">
        <v>347</v>
      </c>
      <c r="J61" s="1" t="s">
        <v>36</v>
      </c>
      <c r="K61" s="1"/>
      <c r="L61" s="9">
        <v>265</v>
      </c>
      <c r="M61" s="1">
        <v>53</v>
      </c>
      <c r="N61" s="9">
        <v>131.94999999999999</v>
      </c>
      <c r="O61" s="1" t="str">
        <f t="shared" ref="O61" si="24">G61</f>
        <v>10888706000</v>
      </c>
      <c r="P61" s="1" t="s">
        <v>22</v>
      </c>
      <c r="Q61" s="1" t="s">
        <v>188</v>
      </c>
      <c r="R61" s="6"/>
      <c r="S61" s="7" t="s">
        <v>348</v>
      </c>
      <c r="T61" s="1" t="str">
        <f t="shared" si="18"/>
        <v>4x32C Combo Combat Scope Fiber ,Accueil,Outdoor plus,Armbrust,Zubehör,Airsoft,Aim-O</v>
      </c>
      <c r="U61" s="1" t="str">
        <f t="shared" ref="U61" si="25">I61</f>
        <v xml:space="preserve">4x32C Combo Combat Scope Fiber </v>
      </c>
      <c r="V61" s="1" t="str">
        <f t="shared" ref="V61" si="26">T61</f>
        <v>4x32C Combo Combat Scope Fiber ,Accueil,Outdoor plus,Armbrust,Zubehör,Airsoft,Aim-O</v>
      </c>
      <c r="W61" s="1">
        <v>1</v>
      </c>
      <c r="X61" s="1">
        <v>1</v>
      </c>
      <c r="Y61" s="1" t="str">
        <f t="shared" si="7"/>
        <v>http://usfh.ch/img/Armbrustzubehör/10888706000.jpg</v>
      </c>
      <c r="Z61" s="1" t="str">
        <f t="shared" ref="Z61" si="27">G61</f>
        <v>10888706000</v>
      </c>
      <c r="AA61" s="8">
        <f t="shared" ref="AA61" si="28">F61*L61</f>
        <v>265</v>
      </c>
      <c r="AB61" s="8">
        <f t="shared" ref="AB61" si="29">F61*N61</f>
        <v>131.94999999999999</v>
      </c>
      <c r="AC61" s="1">
        <v>0.5</v>
      </c>
    </row>
    <row r="62" spans="1:29" ht="15" customHeight="1" x14ac:dyDescent="0.2">
      <c r="A62" s="1">
        <v>61</v>
      </c>
      <c r="B62" s="1"/>
      <c r="C62" s="1"/>
      <c r="D62" s="1"/>
      <c r="E62" s="1"/>
      <c r="F62" s="1">
        <v>3</v>
      </c>
      <c r="G62" s="2" t="s">
        <v>203</v>
      </c>
      <c r="H62" s="1">
        <v>1</v>
      </c>
      <c r="I62" s="1" t="s">
        <v>204</v>
      </c>
      <c r="J62" s="1" t="s">
        <v>36</v>
      </c>
      <c r="K62" s="1"/>
      <c r="L62" s="9">
        <v>19</v>
      </c>
      <c r="M62" s="1">
        <v>53</v>
      </c>
      <c r="N62" s="9">
        <v>3.4</v>
      </c>
      <c r="O62" s="1" t="str">
        <f t="shared" si="17"/>
        <v>A016681</v>
      </c>
      <c r="P62" s="1" t="s">
        <v>28</v>
      </c>
      <c r="Q62" s="1" t="s">
        <v>33</v>
      </c>
      <c r="R62" s="6"/>
      <c r="S62" s="7" t="s">
        <v>205</v>
      </c>
      <c r="T62" s="1" t="str">
        <f t="shared" si="18"/>
        <v>MAXIMAL SMALL GAME BROADHEADS FOX BLUNT 100 GR SCREW-IN 6/PK,Accueil,Outdoor plus,Armbrust,Zubehör,SSA,Maximal</v>
      </c>
      <c r="U62" s="1" t="str">
        <f t="shared" si="19"/>
        <v>MAXIMAL SMALL GAME BROADHEADS FOX BLUNT 100 GR SCREW-IN 6/PK</v>
      </c>
      <c r="V62" s="1" t="str">
        <f t="shared" si="20"/>
        <v>MAXIMAL SMALL GAME BROADHEADS FOX BLUNT 100 GR SCREW-IN 6/PK,Accueil,Outdoor plus,Armbrust,Zubehör,SSA,Maximal</v>
      </c>
      <c r="W62" s="1">
        <v>1</v>
      </c>
      <c r="X62" s="1">
        <v>1</v>
      </c>
      <c r="Y62" s="1" t="str">
        <f t="shared" si="7"/>
        <v>http://usfh.ch/img/Armbrustzubehör/A016681.jpg</v>
      </c>
      <c r="Z62" s="1" t="str">
        <f t="shared" si="21"/>
        <v>A016681</v>
      </c>
      <c r="AA62" s="8">
        <f t="shared" si="22"/>
        <v>57</v>
      </c>
      <c r="AB62" s="8">
        <f t="shared" si="23"/>
        <v>10.199999999999999</v>
      </c>
      <c r="AC62" s="1">
        <v>0.3</v>
      </c>
    </row>
    <row r="63" spans="1:29" ht="15" customHeight="1" x14ac:dyDescent="0.2">
      <c r="A63" s="1">
        <v>62</v>
      </c>
      <c r="B63" s="1"/>
      <c r="C63" s="1"/>
      <c r="D63" s="1"/>
      <c r="E63" s="1"/>
      <c r="F63" s="1">
        <v>3</v>
      </c>
      <c r="G63" s="2" t="s">
        <v>206</v>
      </c>
      <c r="H63" s="1">
        <v>1</v>
      </c>
      <c r="I63" s="1" t="s">
        <v>207</v>
      </c>
      <c r="J63" s="1" t="s">
        <v>36</v>
      </c>
      <c r="K63" s="1"/>
      <c r="L63" s="9">
        <v>89</v>
      </c>
      <c r="M63" s="1">
        <v>53</v>
      </c>
      <c r="N63" s="9">
        <v>31</v>
      </c>
      <c r="O63" s="1" t="str">
        <f t="shared" si="17"/>
        <v>A016393</v>
      </c>
      <c r="P63" s="1" t="s">
        <v>28</v>
      </c>
      <c r="Q63" s="1" t="s">
        <v>208</v>
      </c>
      <c r="R63" s="6"/>
      <c r="S63" s="7" t="s">
        <v>209</v>
      </c>
      <c r="T63" s="1" t="str">
        <f t="shared" si="18"/>
        <v>FIXED BLADE BROADHEADS MONTEC 100 GR 3/PK,Accueil,Outdoor plus,Armbrust,Zubehör,SSA,Montec</v>
      </c>
      <c r="U63" s="1" t="str">
        <f t="shared" si="19"/>
        <v>FIXED BLADE BROADHEADS MONTEC 100 GR 3/PK</v>
      </c>
      <c r="V63" s="1" t="str">
        <f t="shared" si="20"/>
        <v>FIXED BLADE BROADHEADS MONTEC 100 GR 3/PK,Accueil,Outdoor plus,Armbrust,Zubehör,SSA,Montec</v>
      </c>
      <c r="W63" s="1">
        <v>1</v>
      </c>
      <c r="X63" s="1">
        <v>1</v>
      </c>
      <c r="Y63" s="1" t="str">
        <f t="shared" si="7"/>
        <v>http://usfh.ch/img/Armbrustzubehör/A016393.jpg</v>
      </c>
      <c r="Z63" s="1" t="str">
        <f t="shared" si="21"/>
        <v>A016393</v>
      </c>
      <c r="AA63" s="8">
        <f t="shared" si="22"/>
        <v>267</v>
      </c>
      <c r="AB63" s="8">
        <f t="shared" si="23"/>
        <v>93</v>
      </c>
      <c r="AC63" s="1">
        <v>0.3</v>
      </c>
    </row>
    <row r="64" spans="1:29" ht="15" customHeight="1" x14ac:dyDescent="0.2">
      <c r="A64" s="1">
        <v>63</v>
      </c>
      <c r="B64" s="1"/>
      <c r="C64" s="1"/>
      <c r="D64" s="1"/>
      <c r="E64" s="1"/>
      <c r="F64" s="1">
        <v>4</v>
      </c>
      <c r="G64" s="2" t="s">
        <v>210</v>
      </c>
      <c r="H64" s="1">
        <v>1</v>
      </c>
      <c r="I64" s="1" t="s">
        <v>211</v>
      </c>
      <c r="J64" s="1" t="s">
        <v>36</v>
      </c>
      <c r="K64" s="1"/>
      <c r="L64" s="9">
        <v>59</v>
      </c>
      <c r="M64" s="1">
        <v>53</v>
      </c>
      <c r="N64" s="9">
        <v>6.3</v>
      </c>
      <c r="O64" s="1" t="str">
        <f t="shared" si="17"/>
        <v>A016472</v>
      </c>
      <c r="P64" s="1" t="s">
        <v>28</v>
      </c>
      <c r="Q64" s="1" t="s">
        <v>33</v>
      </c>
      <c r="R64" s="6"/>
      <c r="S64" s="7" t="s">
        <v>212</v>
      </c>
      <c r="T64" s="1" t="str">
        <f t="shared" si="18"/>
        <v>MAXIMAL Cutback - 100gr - Broadhead - Pack of 6,Accueil,Outdoor plus,Armbrust,Zubehör,SSA,Maximal</v>
      </c>
      <c r="U64" s="1" t="str">
        <f t="shared" si="19"/>
        <v>MAXIMAL Cutback - 100gr - Broadhead - Pack of 6</v>
      </c>
      <c r="V64" s="1" t="str">
        <f t="shared" si="20"/>
        <v>MAXIMAL Cutback - 100gr - Broadhead - Pack of 6,Accueil,Outdoor plus,Armbrust,Zubehör,SSA,Maximal</v>
      </c>
      <c r="W64" s="1">
        <v>1</v>
      </c>
      <c r="X64" s="1">
        <v>1</v>
      </c>
      <c r="Y64" s="1" t="str">
        <f t="shared" si="7"/>
        <v>http://usfh.ch/img/Armbrustzubehör/A016472.jpg</v>
      </c>
      <c r="Z64" s="1" t="str">
        <f t="shared" si="21"/>
        <v>A016472</v>
      </c>
      <c r="AA64" s="8">
        <f t="shared" si="22"/>
        <v>236</v>
      </c>
      <c r="AB64" s="8">
        <f t="shared" si="23"/>
        <v>25.2</v>
      </c>
      <c r="AC64" s="1">
        <v>0.3</v>
      </c>
    </row>
    <row r="65" spans="1:29" ht="15" customHeight="1" x14ac:dyDescent="0.2">
      <c r="A65" s="1">
        <v>64</v>
      </c>
      <c r="B65" s="1"/>
      <c r="C65" s="1"/>
      <c r="D65" s="1"/>
      <c r="E65" s="1"/>
      <c r="F65" s="1">
        <v>1</v>
      </c>
      <c r="G65" s="2" t="s">
        <v>213</v>
      </c>
      <c r="H65" s="1">
        <v>1</v>
      </c>
      <c r="I65" s="1" t="s">
        <v>214</v>
      </c>
      <c r="J65" s="1" t="s">
        <v>36</v>
      </c>
      <c r="K65" s="1"/>
      <c r="L65" s="9">
        <v>79</v>
      </c>
      <c r="M65" s="1">
        <v>53</v>
      </c>
      <c r="N65" s="9">
        <v>38</v>
      </c>
      <c r="O65" s="1" t="str">
        <f t="shared" ref="O65:O89" si="30">G65</f>
        <v>A016403</v>
      </c>
      <c r="P65" s="1" t="s">
        <v>28</v>
      </c>
      <c r="Q65" s="1" t="s">
        <v>215</v>
      </c>
      <c r="R65" s="6"/>
      <c r="S65" s="7" t="s">
        <v>216</v>
      </c>
      <c r="T65" s="1" t="str">
        <f t="shared" si="18"/>
        <v>EXPANDABLE BROADHEADS KILLZONE C.O.C. 125 GR 2 BLADE SCREW-IN 3/PK,Accueil,Outdoor plus,Armbrust,Zubehör,SSA,NAP</v>
      </c>
      <c r="U65" s="1" t="str">
        <f t="shared" si="19"/>
        <v>EXPANDABLE BROADHEADS KILLZONE C.O.C. 125 GR 2 BLADE SCREW-IN 3/PK</v>
      </c>
      <c r="V65" s="1" t="str">
        <f t="shared" si="20"/>
        <v>EXPANDABLE BROADHEADS KILLZONE C.O.C. 125 GR 2 BLADE SCREW-IN 3/PK,Accueil,Outdoor plus,Armbrust,Zubehör,SSA,NAP</v>
      </c>
      <c r="W65" s="1">
        <v>1</v>
      </c>
      <c r="X65" s="1">
        <v>1</v>
      </c>
      <c r="Y65" s="1" t="str">
        <f t="shared" si="7"/>
        <v>http://usfh.ch/img/Armbrustzubehör/A016403.jpg</v>
      </c>
      <c r="Z65" s="1" t="str">
        <f t="shared" si="21"/>
        <v>A016403</v>
      </c>
      <c r="AA65" s="8">
        <f t="shared" si="22"/>
        <v>79</v>
      </c>
      <c r="AB65" s="8">
        <f t="shared" si="23"/>
        <v>38</v>
      </c>
      <c r="AC65" s="1">
        <v>0.3</v>
      </c>
    </row>
    <row r="66" spans="1:29" ht="15" customHeight="1" x14ac:dyDescent="0.2">
      <c r="A66" s="1">
        <v>65</v>
      </c>
      <c r="B66" s="1"/>
      <c r="C66" s="1"/>
      <c r="D66" s="1"/>
      <c r="E66" s="1"/>
      <c r="F66" s="1">
        <v>1</v>
      </c>
      <c r="G66" s="2" t="s">
        <v>217</v>
      </c>
      <c r="H66" s="1">
        <v>1</v>
      </c>
      <c r="I66" s="1" t="s">
        <v>218</v>
      </c>
      <c r="J66" s="1" t="s">
        <v>36</v>
      </c>
      <c r="K66" s="1"/>
      <c r="L66" s="9">
        <v>59</v>
      </c>
      <c r="M66" s="1">
        <v>53</v>
      </c>
      <c r="N66" s="9">
        <v>25</v>
      </c>
      <c r="O66" s="1" t="str">
        <f t="shared" si="30"/>
        <v>A016384</v>
      </c>
      <c r="P66" s="1" t="s">
        <v>28</v>
      </c>
      <c r="Q66" s="1" t="s">
        <v>215</v>
      </c>
      <c r="R66" s="6"/>
      <c r="S66" s="7" t="s">
        <v>219</v>
      </c>
      <c r="T66" s="1" t="str">
        <f t="shared" si="18"/>
        <v>EXPANDABLE BROADHEADS SHOCKWAVE 125 GR 3 BLADE SCREW-IN 3/PK,Accueil,Outdoor plus,Armbrust,Zubehör,SSA,NAP</v>
      </c>
      <c r="U66" s="1" t="str">
        <f t="shared" si="19"/>
        <v>EXPANDABLE BROADHEADS SHOCKWAVE 125 GR 3 BLADE SCREW-IN 3/PK</v>
      </c>
      <c r="V66" s="1" t="str">
        <f t="shared" si="20"/>
        <v>EXPANDABLE BROADHEADS SHOCKWAVE 125 GR 3 BLADE SCREW-IN 3/PK,Accueil,Outdoor plus,Armbrust,Zubehör,SSA,NAP</v>
      </c>
      <c r="W66" s="1">
        <v>1</v>
      </c>
      <c r="X66" s="1">
        <v>1</v>
      </c>
      <c r="Y66" s="1" t="str">
        <f t="shared" si="7"/>
        <v>http://usfh.ch/img/Armbrustzubehör/A016384.jpg</v>
      </c>
      <c r="Z66" s="1" t="str">
        <f t="shared" si="21"/>
        <v>A016384</v>
      </c>
      <c r="AA66" s="8">
        <f t="shared" si="22"/>
        <v>59</v>
      </c>
      <c r="AB66" s="8">
        <f t="shared" si="23"/>
        <v>25</v>
      </c>
      <c r="AC66" s="1">
        <v>0.3</v>
      </c>
    </row>
    <row r="67" spans="1:29" ht="15" customHeight="1" x14ac:dyDescent="0.2">
      <c r="A67" s="1">
        <v>66</v>
      </c>
      <c r="B67" s="1"/>
      <c r="C67" s="1"/>
      <c r="D67" s="1"/>
      <c r="E67" s="1"/>
      <c r="F67" s="1">
        <v>1</v>
      </c>
      <c r="G67" s="2" t="s">
        <v>220</v>
      </c>
      <c r="H67" s="1">
        <v>1</v>
      </c>
      <c r="I67" s="1" t="s">
        <v>221</v>
      </c>
      <c r="J67" s="1" t="s">
        <v>36</v>
      </c>
      <c r="K67" s="1"/>
      <c r="L67" s="9">
        <v>69</v>
      </c>
      <c r="M67" s="1">
        <v>53</v>
      </c>
      <c r="N67" s="9">
        <v>16.3</v>
      </c>
      <c r="O67" s="1" t="str">
        <f t="shared" si="30"/>
        <v>B10064</v>
      </c>
      <c r="P67" s="1" t="s">
        <v>27</v>
      </c>
      <c r="Q67" s="1" t="s">
        <v>27</v>
      </c>
      <c r="R67" s="6"/>
      <c r="S67" s="1" t="s">
        <v>221</v>
      </c>
      <c r="T67" s="1" t="str">
        <f t="shared" si="18"/>
        <v>Vlad Polyester Armbrusttasche,Accueil,Outdoor plus,Armbrust,Zubehör,Ek Archery,Ek Archery</v>
      </c>
      <c r="U67" s="1" t="str">
        <f t="shared" si="19"/>
        <v>Vlad Polyester Armbrusttasche</v>
      </c>
      <c r="V67" s="1" t="str">
        <f t="shared" si="20"/>
        <v>Vlad Polyester Armbrusttasche,Accueil,Outdoor plus,Armbrust,Zubehör,Ek Archery,Ek Archery</v>
      </c>
      <c r="W67" s="1">
        <v>1</v>
      </c>
      <c r="X67" s="1">
        <v>1</v>
      </c>
      <c r="Y67" s="1" t="str">
        <f t="shared" ref="Y67:Y78" si="31" xml:space="preserve"> "http://usfh.ch/img/Armbrustzubehör/" &amp; G67 &amp; ".jpg"</f>
        <v>http://usfh.ch/img/Armbrustzubehör/B10064.jpg</v>
      </c>
      <c r="Z67" s="1" t="str">
        <f t="shared" si="21"/>
        <v>B10064</v>
      </c>
      <c r="AA67" s="8">
        <f t="shared" si="22"/>
        <v>69</v>
      </c>
      <c r="AB67" s="8">
        <f t="shared" si="23"/>
        <v>16.3</v>
      </c>
      <c r="AC67" s="1">
        <v>0.5</v>
      </c>
    </row>
    <row r="68" spans="1:29" ht="15" customHeight="1" x14ac:dyDescent="0.2">
      <c r="A68" s="1">
        <v>67</v>
      </c>
      <c r="B68" s="1"/>
      <c r="C68" s="1"/>
      <c r="D68" s="1"/>
      <c r="E68" s="1"/>
      <c r="F68" s="1">
        <v>4</v>
      </c>
      <c r="G68" s="2" t="s">
        <v>222</v>
      </c>
      <c r="H68" s="1">
        <v>1</v>
      </c>
      <c r="I68" s="1" t="s">
        <v>223</v>
      </c>
      <c r="J68" s="1" t="s">
        <v>36</v>
      </c>
      <c r="K68" s="1"/>
      <c r="L68" s="9">
        <v>19</v>
      </c>
      <c r="M68" s="1">
        <v>53</v>
      </c>
      <c r="N68" s="9">
        <v>4.25</v>
      </c>
      <c r="O68" s="1" t="str">
        <f t="shared" si="30"/>
        <v>B10063</v>
      </c>
      <c r="P68" s="1" t="s">
        <v>27</v>
      </c>
      <c r="Q68" s="1" t="s">
        <v>341</v>
      </c>
      <c r="R68" s="6"/>
      <c r="S68" s="1" t="s">
        <v>224</v>
      </c>
      <c r="T68" s="1" t="str">
        <f t="shared" si="18"/>
        <v xml:space="preserve">Vlad Schnelllader,Accueil,Outdoor plus,Armbrust,Zubehör,Ek Archery,   </v>
      </c>
      <c r="U68" s="1" t="str">
        <f t="shared" si="19"/>
        <v>Vlad Schnelllader</v>
      </c>
      <c r="V68" s="1" t="str">
        <f t="shared" si="20"/>
        <v xml:space="preserve">Vlad Schnelllader,Accueil,Outdoor plus,Armbrust,Zubehör,Ek Archery,   </v>
      </c>
      <c r="W68" s="1">
        <v>1</v>
      </c>
      <c r="X68" s="1">
        <v>1</v>
      </c>
      <c r="Y68" s="1" t="str">
        <f t="shared" si="31"/>
        <v>http://usfh.ch/img/Armbrustzubehör/B10063.jpg</v>
      </c>
      <c r="Z68" s="1" t="str">
        <f t="shared" si="21"/>
        <v>B10063</v>
      </c>
      <c r="AA68" s="8">
        <f t="shared" si="22"/>
        <v>76</v>
      </c>
      <c r="AB68" s="8">
        <f t="shared" si="23"/>
        <v>17</v>
      </c>
      <c r="AC68" s="1">
        <v>0.3</v>
      </c>
    </row>
    <row r="69" spans="1:29" ht="15" customHeight="1" x14ac:dyDescent="0.2">
      <c r="A69" s="1">
        <v>68</v>
      </c>
      <c r="B69" s="1"/>
      <c r="C69" s="1"/>
      <c r="D69" s="1"/>
      <c r="E69" s="1"/>
      <c r="F69" s="1">
        <v>0</v>
      </c>
      <c r="G69" s="2" t="s">
        <v>225</v>
      </c>
      <c r="H69" s="1">
        <v>1</v>
      </c>
      <c r="I69" s="1" t="s">
        <v>226</v>
      </c>
      <c r="J69" s="1" t="s">
        <v>36</v>
      </c>
      <c r="K69" s="1"/>
      <c r="L69" s="9">
        <v>49</v>
      </c>
      <c r="M69" s="1">
        <v>53</v>
      </c>
      <c r="N69" s="9">
        <v>15.5</v>
      </c>
      <c r="O69" s="1" t="str">
        <f t="shared" si="30"/>
        <v>CR-1211B-30</v>
      </c>
      <c r="P69" s="1" t="s">
        <v>27</v>
      </c>
      <c r="Q69" s="1" t="s">
        <v>27</v>
      </c>
      <c r="R69" s="6"/>
      <c r="S69" s="7" t="s">
        <v>227</v>
      </c>
      <c r="T69" s="1" t="str">
        <f t="shared" si="18"/>
        <v>Vlad Wurfarm 30lbs,Accueil,Outdoor plus,Armbrust,Zubehör,Ek Archery,Ek Archery</v>
      </c>
      <c r="U69" s="1" t="str">
        <f t="shared" si="19"/>
        <v>Vlad Wurfarm 30lbs</v>
      </c>
      <c r="V69" s="1" t="str">
        <f t="shared" si="20"/>
        <v>Vlad Wurfarm 30lbs,Accueil,Outdoor plus,Armbrust,Zubehör,Ek Archery,Ek Archery</v>
      </c>
      <c r="W69" s="1">
        <v>1</v>
      </c>
      <c r="X69" s="1">
        <v>1</v>
      </c>
      <c r="Y69" s="1" t="str">
        <f t="shared" si="31"/>
        <v>http://usfh.ch/img/Armbrustzubehör/CR-1211B-30.jpg</v>
      </c>
      <c r="Z69" s="1" t="str">
        <f t="shared" si="21"/>
        <v>CR-1211B-30</v>
      </c>
      <c r="AA69" s="8">
        <f t="shared" si="22"/>
        <v>0</v>
      </c>
      <c r="AB69" s="8">
        <f t="shared" si="23"/>
        <v>0</v>
      </c>
      <c r="AC69" s="1">
        <v>0.3</v>
      </c>
    </row>
    <row r="70" spans="1:29" ht="15" customHeight="1" x14ac:dyDescent="0.2">
      <c r="A70" s="1">
        <v>69</v>
      </c>
      <c r="B70" s="1"/>
      <c r="C70" s="1"/>
      <c r="D70" s="1"/>
      <c r="E70" s="1"/>
      <c r="F70" s="1">
        <v>11</v>
      </c>
      <c r="G70" s="2" t="s">
        <v>228</v>
      </c>
      <c r="H70" s="1">
        <v>1</v>
      </c>
      <c r="I70" s="1" t="s">
        <v>229</v>
      </c>
      <c r="J70" s="1" t="s">
        <v>36</v>
      </c>
      <c r="K70" s="1"/>
      <c r="L70" s="9">
        <v>19</v>
      </c>
      <c r="M70" s="1">
        <v>53</v>
      </c>
      <c r="N70" s="9">
        <v>4.3099999999999996</v>
      </c>
      <c r="O70" s="1" t="str">
        <f t="shared" si="30"/>
        <v>D-015A10</v>
      </c>
      <c r="P70" s="1" t="s">
        <v>27</v>
      </c>
      <c r="Q70" s="1" t="s">
        <v>27</v>
      </c>
      <c r="R70" s="6"/>
      <c r="S70" s="1" t="s">
        <v>229</v>
      </c>
      <c r="T70" s="1" t="str">
        <f t="shared" si="18"/>
        <v>Alu Bolzen 6.5" gold 10er Packung,Accueil,Outdoor plus,Armbrust,Zubehör,Ek Archery,Ek Archery</v>
      </c>
      <c r="U70" s="1" t="str">
        <f t="shared" si="19"/>
        <v>Alu Bolzen 6.5" gold 10er Packung</v>
      </c>
      <c r="V70" s="1" t="str">
        <f t="shared" si="20"/>
        <v>Alu Bolzen 6.5" gold 10er Packung,Accueil,Outdoor plus,Armbrust,Zubehör,Ek Archery,Ek Archery</v>
      </c>
      <c r="W70" s="1">
        <v>1</v>
      </c>
      <c r="X70" s="1">
        <v>1</v>
      </c>
      <c r="Y70" s="1" t="str">
        <f t="shared" si="31"/>
        <v>http://usfh.ch/img/Armbrustzubehör/D-015A10.jpg</v>
      </c>
      <c r="Z70" s="1" t="str">
        <f t="shared" si="21"/>
        <v>D-015A10</v>
      </c>
      <c r="AA70" s="8">
        <f t="shared" si="22"/>
        <v>209</v>
      </c>
      <c r="AB70" s="8">
        <f t="shared" si="23"/>
        <v>47.41</v>
      </c>
      <c r="AC70" s="1">
        <v>0.3</v>
      </c>
    </row>
    <row r="71" spans="1:29" ht="15" customHeight="1" x14ac:dyDescent="0.2">
      <c r="A71" s="1">
        <v>70</v>
      </c>
      <c r="B71" s="1"/>
      <c r="C71" s="1"/>
      <c r="D71" s="1"/>
      <c r="E71" s="1"/>
      <c r="F71" s="1">
        <v>13</v>
      </c>
      <c r="G71" s="2" t="s">
        <v>230</v>
      </c>
      <c r="H71" s="1">
        <v>1</v>
      </c>
      <c r="I71" s="1" t="s">
        <v>231</v>
      </c>
      <c r="J71" s="1" t="s">
        <v>36</v>
      </c>
      <c r="K71" s="1"/>
      <c r="L71" s="9">
        <v>39</v>
      </c>
      <c r="M71" s="1">
        <v>53</v>
      </c>
      <c r="N71" s="9">
        <v>14</v>
      </c>
      <c r="O71" s="1" t="str">
        <f t="shared" si="30"/>
        <v>0000401</v>
      </c>
      <c r="P71" s="1" t="s">
        <v>34</v>
      </c>
      <c r="Q71" s="1" t="s">
        <v>34</v>
      </c>
      <c r="R71" s="6"/>
      <c r="S71" s="7" t="s">
        <v>232</v>
      </c>
      <c r="T71" s="1" t="str">
        <f t="shared" si="18"/>
        <v>Stinger Bodkinpfeile – Set aus 6 Stk.,Accueil,Outdoor plus,Armbrust,Zubehör,Steambow,Steambow</v>
      </c>
      <c r="U71" s="1" t="str">
        <f t="shared" si="19"/>
        <v>Stinger Bodkinpfeile – Set aus 6 Stk.</v>
      </c>
      <c r="V71" s="1" t="str">
        <f t="shared" si="20"/>
        <v>Stinger Bodkinpfeile – Set aus 6 Stk.,Accueil,Outdoor plus,Armbrust,Zubehör,Steambow,Steambow</v>
      </c>
      <c r="W71" s="1">
        <v>1</v>
      </c>
      <c r="X71" s="1">
        <v>1</v>
      </c>
      <c r="Y71" s="1" t="str">
        <f t="shared" si="31"/>
        <v>http://usfh.ch/img/Armbrustzubehör/0000401.jpg</v>
      </c>
      <c r="Z71" s="1" t="str">
        <f t="shared" si="21"/>
        <v>0000401</v>
      </c>
      <c r="AA71" s="8">
        <f t="shared" si="22"/>
        <v>507</v>
      </c>
      <c r="AB71" s="8">
        <f t="shared" si="23"/>
        <v>182</v>
      </c>
      <c r="AC71" s="1">
        <v>0.3</v>
      </c>
    </row>
    <row r="72" spans="1:29" ht="15" customHeight="1" x14ac:dyDescent="0.2">
      <c r="A72" s="1">
        <v>71</v>
      </c>
      <c r="B72" s="1"/>
      <c r="C72" s="1"/>
      <c r="D72" s="1"/>
      <c r="E72" s="1"/>
      <c r="F72" s="1">
        <v>32</v>
      </c>
      <c r="G72" s="2" t="s">
        <v>233</v>
      </c>
      <c r="H72" s="1">
        <v>1</v>
      </c>
      <c r="I72" s="1" t="s">
        <v>234</v>
      </c>
      <c r="J72" s="1" t="s">
        <v>36</v>
      </c>
      <c r="K72" s="1"/>
      <c r="L72" s="9">
        <v>39</v>
      </c>
      <c r="M72" s="1">
        <v>53</v>
      </c>
      <c r="N72" s="9">
        <v>14</v>
      </c>
      <c r="O72" s="1" t="str">
        <f t="shared" si="30"/>
        <v>0000250</v>
      </c>
      <c r="P72" s="1" t="s">
        <v>34</v>
      </c>
      <c r="Q72" s="1" t="s">
        <v>34</v>
      </c>
      <c r="R72" s="6"/>
      <c r="S72" s="7" t="s">
        <v>235</v>
      </c>
      <c r="T72" s="1" t="str">
        <f t="shared" si="18"/>
        <v>Stinger Jagdpfeile – Set aus 3 Stk.,Accueil,Outdoor plus,Armbrust,Zubehör,Steambow,Steambow</v>
      </c>
      <c r="U72" s="1" t="str">
        <f t="shared" si="19"/>
        <v>Stinger Jagdpfeile – Set aus 3 Stk.</v>
      </c>
      <c r="V72" s="1" t="str">
        <f t="shared" si="20"/>
        <v>Stinger Jagdpfeile – Set aus 3 Stk.,Accueil,Outdoor plus,Armbrust,Zubehör,Steambow,Steambow</v>
      </c>
      <c r="W72" s="1">
        <v>1</v>
      </c>
      <c r="X72" s="1">
        <v>1</v>
      </c>
      <c r="Y72" s="1" t="str">
        <f t="shared" si="31"/>
        <v>http://usfh.ch/img/Armbrustzubehör/0000250.jpg</v>
      </c>
      <c r="Z72" s="1" t="str">
        <f t="shared" si="21"/>
        <v>0000250</v>
      </c>
      <c r="AA72" s="8">
        <f t="shared" si="22"/>
        <v>1248</v>
      </c>
      <c r="AB72" s="8">
        <f t="shared" si="23"/>
        <v>448</v>
      </c>
      <c r="AC72" s="1">
        <v>0.3</v>
      </c>
    </row>
    <row r="73" spans="1:29" ht="15" customHeight="1" x14ac:dyDescent="0.2">
      <c r="A73" s="1">
        <v>72</v>
      </c>
      <c r="B73" s="1"/>
      <c r="C73" s="1"/>
      <c r="D73" s="1"/>
      <c r="E73" s="1"/>
      <c r="F73" s="1">
        <v>0</v>
      </c>
      <c r="G73" s="2" t="s">
        <v>236</v>
      </c>
      <c r="H73" s="1">
        <v>1</v>
      </c>
      <c r="I73" s="1" t="s">
        <v>237</v>
      </c>
      <c r="J73" s="1" t="s">
        <v>36</v>
      </c>
      <c r="K73" s="1"/>
      <c r="L73" s="9">
        <v>21</v>
      </c>
      <c r="M73" s="1">
        <v>53</v>
      </c>
      <c r="N73" s="9">
        <v>8.5</v>
      </c>
      <c r="O73" s="1" t="str">
        <f t="shared" si="30"/>
        <v>0000215</v>
      </c>
      <c r="P73" s="1" t="s">
        <v>34</v>
      </c>
      <c r="Q73" s="1" t="s">
        <v>34</v>
      </c>
      <c r="R73" s="6"/>
      <c r="S73" s="7" t="s">
        <v>238</v>
      </c>
      <c r="T73" s="1" t="str">
        <f t="shared" si="18"/>
        <v>Stinger Übungspfeile – Set aus 10 Stk.,Accueil,Outdoor plus,Armbrust,Zubehör,Steambow,Steambow</v>
      </c>
      <c r="U73" s="1" t="str">
        <f t="shared" si="19"/>
        <v>Stinger Übungspfeile – Set aus 10 Stk.</v>
      </c>
      <c r="V73" s="1" t="str">
        <f t="shared" si="20"/>
        <v>Stinger Übungspfeile – Set aus 10 Stk.,Accueil,Outdoor plus,Armbrust,Zubehör,Steambow,Steambow</v>
      </c>
      <c r="W73" s="1">
        <v>1</v>
      </c>
      <c r="X73" s="1">
        <v>1</v>
      </c>
      <c r="Y73" s="1" t="str">
        <f t="shared" si="31"/>
        <v>http://usfh.ch/img/Armbrustzubehör/0000215.jpg</v>
      </c>
      <c r="Z73" s="1" t="str">
        <f t="shared" si="21"/>
        <v>0000215</v>
      </c>
      <c r="AA73" s="8">
        <f t="shared" si="22"/>
        <v>0</v>
      </c>
      <c r="AB73" s="8">
        <f t="shared" si="23"/>
        <v>0</v>
      </c>
      <c r="AC73" s="1">
        <v>0.3</v>
      </c>
    </row>
    <row r="74" spans="1:29" ht="15" customHeight="1" x14ac:dyDescent="0.2">
      <c r="A74" s="1">
        <v>73</v>
      </c>
      <c r="B74" s="1"/>
      <c r="C74" s="1"/>
      <c r="D74" s="1"/>
      <c r="E74" s="1"/>
      <c r="F74" s="1">
        <v>10</v>
      </c>
      <c r="G74" s="2" t="s">
        <v>239</v>
      </c>
      <c r="H74" s="1">
        <v>1</v>
      </c>
      <c r="I74" s="1" t="s">
        <v>240</v>
      </c>
      <c r="J74" s="1" t="s">
        <v>36</v>
      </c>
      <c r="K74" s="1"/>
      <c r="L74" s="9">
        <v>26</v>
      </c>
      <c r="M74" s="1">
        <v>53</v>
      </c>
      <c r="N74" s="9">
        <v>10</v>
      </c>
      <c r="O74" s="1" t="str">
        <f t="shared" si="30"/>
        <v>0000424</v>
      </c>
      <c r="P74" s="1" t="s">
        <v>34</v>
      </c>
      <c r="Q74" s="1" t="s">
        <v>34</v>
      </c>
      <c r="R74" s="6"/>
      <c r="S74" s="7" t="s">
        <v>241</v>
      </c>
      <c r="T74" s="1" t="str">
        <f t="shared" si="18"/>
        <v>Schnelllader für AR-6 Stinger II (5 Pfeile),Accueil,Outdoor plus,Armbrust,Zubehör,Steambow,Steambow</v>
      </c>
      <c r="U74" s="1" t="str">
        <f t="shared" si="19"/>
        <v>Schnelllader für AR-6 Stinger II (5 Pfeile)</v>
      </c>
      <c r="V74" s="1" t="str">
        <f t="shared" si="20"/>
        <v>Schnelllader für AR-6 Stinger II (5 Pfeile),Accueil,Outdoor plus,Armbrust,Zubehör,Steambow,Steambow</v>
      </c>
      <c r="W74" s="1">
        <v>1</v>
      </c>
      <c r="X74" s="1">
        <v>1</v>
      </c>
      <c r="Y74" s="1" t="str">
        <f t="shared" si="31"/>
        <v>http://usfh.ch/img/Armbrustzubehör/0000424.jpg</v>
      </c>
      <c r="Z74" s="1" t="str">
        <f t="shared" si="21"/>
        <v>0000424</v>
      </c>
      <c r="AA74" s="8">
        <f t="shared" si="22"/>
        <v>260</v>
      </c>
      <c r="AB74" s="8">
        <f t="shared" si="23"/>
        <v>100</v>
      </c>
      <c r="AC74" s="1">
        <v>0.3</v>
      </c>
    </row>
    <row r="75" spans="1:29" ht="15" customHeight="1" x14ac:dyDescent="0.2">
      <c r="A75" s="1">
        <v>74</v>
      </c>
      <c r="B75" s="1"/>
      <c r="C75" s="1"/>
      <c r="D75" s="1"/>
      <c r="E75" s="1"/>
      <c r="F75" s="1">
        <v>4</v>
      </c>
      <c r="G75" s="2" t="s">
        <v>242</v>
      </c>
      <c r="H75" s="1">
        <v>1</v>
      </c>
      <c r="I75" s="1" t="s">
        <v>243</v>
      </c>
      <c r="J75" s="1" t="s">
        <v>36</v>
      </c>
      <c r="K75" s="1"/>
      <c r="L75" s="9">
        <v>39</v>
      </c>
      <c r="M75" s="1">
        <v>53</v>
      </c>
      <c r="N75" s="9">
        <v>15</v>
      </c>
      <c r="O75" s="1" t="str">
        <f t="shared" si="30"/>
        <v>0000471</v>
      </c>
      <c r="P75" s="1" t="s">
        <v>34</v>
      </c>
      <c r="Q75" s="1" t="s">
        <v>34</v>
      </c>
      <c r="R75" s="6"/>
      <c r="S75" s="7" t="s">
        <v>244</v>
      </c>
      <c r="T75" s="1" t="str">
        <f t="shared" si="18"/>
        <v>Taktischer Pfeilköcher für AR-6 Stinger II,Accueil,Outdoor plus,Armbrust,Zubehör,Steambow,Steambow</v>
      </c>
      <c r="U75" s="1" t="str">
        <f t="shared" si="19"/>
        <v>Taktischer Pfeilköcher für AR-6 Stinger II</v>
      </c>
      <c r="V75" s="1" t="str">
        <f t="shared" si="20"/>
        <v>Taktischer Pfeilköcher für AR-6 Stinger II,Accueil,Outdoor plus,Armbrust,Zubehör,Steambow,Steambow</v>
      </c>
      <c r="W75" s="1">
        <v>1</v>
      </c>
      <c r="X75" s="1">
        <v>1</v>
      </c>
      <c r="Y75" s="1" t="str">
        <f t="shared" si="31"/>
        <v>http://usfh.ch/img/Armbrustzubehör/0000471.jpg</v>
      </c>
      <c r="Z75" s="1" t="str">
        <f t="shared" si="21"/>
        <v>0000471</v>
      </c>
      <c r="AA75" s="8">
        <f t="shared" si="22"/>
        <v>156</v>
      </c>
      <c r="AB75" s="8">
        <f t="shared" si="23"/>
        <v>60</v>
      </c>
      <c r="AC75" s="1">
        <v>0.3</v>
      </c>
    </row>
    <row r="76" spans="1:29" ht="15" customHeight="1" x14ac:dyDescent="0.2">
      <c r="A76" s="1">
        <v>75</v>
      </c>
      <c r="B76" s="1"/>
      <c r="C76" s="1"/>
      <c r="D76" s="1"/>
      <c r="E76" s="1"/>
      <c r="F76" s="1">
        <v>9</v>
      </c>
      <c r="G76" s="2" t="s">
        <v>245</v>
      </c>
      <c r="H76" s="1">
        <v>1</v>
      </c>
      <c r="I76" s="1" t="s">
        <v>246</v>
      </c>
      <c r="J76" s="1" t="s">
        <v>36</v>
      </c>
      <c r="K76" s="1"/>
      <c r="L76" s="9">
        <v>64</v>
      </c>
      <c r="M76" s="1">
        <v>53</v>
      </c>
      <c r="N76" s="9">
        <v>24.5</v>
      </c>
      <c r="O76" s="1" t="str">
        <f t="shared" si="30"/>
        <v>0000420</v>
      </c>
      <c r="P76" s="1" t="s">
        <v>34</v>
      </c>
      <c r="Q76" s="1" t="s">
        <v>34</v>
      </c>
      <c r="R76" s="6"/>
      <c r="S76" s="7" t="s">
        <v>247</v>
      </c>
      <c r="T76" s="1" t="str">
        <f t="shared" ref="T76:T111" si="32">$I76 &amp; "," &amp; $J76 &amp;"," &amp; $P76 &amp;","&amp; $Q76</f>
        <v>AR-6 Stinger II – Wurfarm „PRO“ (90 lbs),Accueil,Outdoor plus,Armbrust,Zubehör,Steambow,Steambow</v>
      </c>
      <c r="U76" s="1" t="str">
        <f t="shared" ref="U76:U89" si="33">I76</f>
        <v>AR-6 Stinger II – Wurfarm „PRO“ (90 lbs)</v>
      </c>
      <c r="V76" s="1" t="str">
        <f t="shared" ref="V76:V89" si="34">T76</f>
        <v>AR-6 Stinger II – Wurfarm „PRO“ (90 lbs),Accueil,Outdoor plus,Armbrust,Zubehör,Steambow,Steambow</v>
      </c>
      <c r="W76" s="1">
        <v>1</v>
      </c>
      <c r="X76" s="1">
        <v>1</v>
      </c>
      <c r="Y76" s="1" t="str">
        <f t="shared" si="31"/>
        <v>http://usfh.ch/img/Armbrustzubehör/0000420.jpg</v>
      </c>
      <c r="Z76" s="1" t="str">
        <f t="shared" ref="Z76:Z89" si="35">G76</f>
        <v>0000420</v>
      </c>
      <c r="AA76" s="8">
        <f t="shared" ref="AA76:AA89" si="36">F76*L76</f>
        <v>576</v>
      </c>
      <c r="AB76" s="8">
        <f t="shared" ref="AB76:AB89" si="37">F76*N76</f>
        <v>220.5</v>
      </c>
      <c r="AC76" s="1">
        <v>0.3</v>
      </c>
    </row>
    <row r="77" spans="1:29" ht="15" customHeight="1" x14ac:dyDescent="0.2">
      <c r="A77" s="1">
        <v>76</v>
      </c>
      <c r="B77" s="1"/>
      <c r="C77" s="1"/>
      <c r="D77" s="1"/>
      <c r="E77" s="1"/>
      <c r="F77" s="1">
        <v>1</v>
      </c>
      <c r="G77" s="2" t="s">
        <v>248</v>
      </c>
      <c r="H77" s="1">
        <v>1</v>
      </c>
      <c r="I77" s="1" t="s">
        <v>249</v>
      </c>
      <c r="J77" s="1" t="s">
        <v>36</v>
      </c>
      <c r="K77" s="1"/>
      <c r="L77" s="9">
        <v>129</v>
      </c>
      <c r="M77" s="1">
        <v>53</v>
      </c>
      <c r="N77" s="9">
        <v>57.94</v>
      </c>
      <c r="O77" s="1" t="str">
        <f t="shared" si="30"/>
        <v>A054362</v>
      </c>
      <c r="P77" s="1" t="s">
        <v>250</v>
      </c>
      <c r="Q77" s="1" t="s">
        <v>251</v>
      </c>
      <c r="R77" s="6"/>
      <c r="S77" s="7" t="s">
        <v>252</v>
      </c>
      <c r="T77" s="1" t="str">
        <f t="shared" si="32"/>
        <v>EXCALIBUR Armbrusttasche - FITS ALL MICRO AND ASSASSIN SERIES,Accueil,Outdoor plus,Armbrust,Zubehör,ssa,excalibur</v>
      </c>
      <c r="U77" s="1" t="str">
        <f t="shared" si="33"/>
        <v>EXCALIBUR Armbrusttasche - FITS ALL MICRO AND ASSASSIN SERIES</v>
      </c>
      <c r="V77" s="1" t="str">
        <f t="shared" si="34"/>
        <v>EXCALIBUR Armbrusttasche - FITS ALL MICRO AND ASSASSIN SERIES,Accueil,Outdoor plus,Armbrust,Zubehör,ssa,excalibur</v>
      </c>
      <c r="W77" s="1">
        <v>1</v>
      </c>
      <c r="X77" s="1">
        <v>1</v>
      </c>
      <c r="Y77" s="1" t="str">
        <f t="shared" si="31"/>
        <v>http://usfh.ch/img/Armbrustzubehör/A054362.jpg</v>
      </c>
      <c r="Z77" s="1" t="str">
        <f t="shared" si="35"/>
        <v>A054362</v>
      </c>
      <c r="AA77" s="8">
        <f t="shared" si="36"/>
        <v>129</v>
      </c>
      <c r="AB77" s="8">
        <f t="shared" si="37"/>
        <v>57.94</v>
      </c>
      <c r="AC77" s="1">
        <v>0.5</v>
      </c>
    </row>
    <row r="78" spans="1:29" ht="15" customHeight="1" x14ac:dyDescent="0.2">
      <c r="A78" s="1">
        <v>77</v>
      </c>
      <c r="B78" s="1"/>
      <c r="C78" s="1"/>
      <c r="D78" s="1"/>
      <c r="E78" s="1"/>
      <c r="F78" s="1">
        <v>0</v>
      </c>
      <c r="G78" s="2" t="s">
        <v>253</v>
      </c>
      <c r="H78" s="1">
        <v>1</v>
      </c>
      <c r="I78" s="1" t="s">
        <v>254</v>
      </c>
      <c r="J78" s="1" t="s">
        <v>36</v>
      </c>
      <c r="K78" s="1"/>
      <c r="L78" s="9">
        <v>229</v>
      </c>
      <c r="M78" s="1">
        <v>53</v>
      </c>
      <c r="N78" s="9">
        <v>140</v>
      </c>
      <c r="O78" s="1" t="str">
        <f t="shared" si="30"/>
        <v>UPOLD Adder Mag8_15</v>
      </c>
      <c r="P78" s="1" t="s">
        <v>255</v>
      </c>
      <c r="Q78" s="1" t="s">
        <v>255</v>
      </c>
      <c r="R78" s="6"/>
      <c r="S78" s="7" t="s">
        <v>256</v>
      </c>
      <c r="T78" s="1" t="str">
        <f t="shared" si="32"/>
        <v>8 Schuss Spezial Magazin 15" zu Adder,Accueil,Outdoor plus,Armbrust,Zubehör,UPBOLT,UPBOLT</v>
      </c>
      <c r="U78" s="1" t="str">
        <f t="shared" si="33"/>
        <v>8 Schuss Spezial Magazin 15" zu Adder</v>
      </c>
      <c r="V78" s="1" t="str">
        <f t="shared" si="34"/>
        <v>8 Schuss Spezial Magazin 15" zu Adder,Accueil,Outdoor plus,Armbrust,Zubehör,UPBOLT,UPBOLT</v>
      </c>
      <c r="W78" s="1">
        <v>1</v>
      </c>
      <c r="X78" s="1">
        <v>1</v>
      </c>
      <c r="Y78" s="1" t="str">
        <f t="shared" si="31"/>
        <v>http://usfh.ch/img/Armbrustzubehör/UPOLD Adder Mag8_15.jpg</v>
      </c>
      <c r="Z78" s="1" t="str">
        <f t="shared" si="35"/>
        <v>UPOLD Adder Mag8_15</v>
      </c>
      <c r="AA78" s="8">
        <f t="shared" si="36"/>
        <v>0</v>
      </c>
      <c r="AB78" s="8">
        <f t="shared" si="37"/>
        <v>0</v>
      </c>
      <c r="AC78" s="1">
        <v>1</v>
      </c>
    </row>
    <row r="79" spans="1:29" ht="15" customHeight="1" x14ac:dyDescent="0.2">
      <c r="A79" s="1">
        <v>78</v>
      </c>
      <c r="B79" s="1"/>
      <c r="C79" s="1"/>
      <c r="D79" s="1"/>
      <c r="E79" s="1"/>
      <c r="F79" s="1">
        <v>1</v>
      </c>
      <c r="G79" s="2" t="s">
        <v>257</v>
      </c>
      <c r="H79" s="1">
        <v>1</v>
      </c>
      <c r="I79" s="1" t="s">
        <v>258</v>
      </c>
      <c r="J79" s="1" t="s">
        <v>36</v>
      </c>
      <c r="K79" s="1"/>
      <c r="L79" s="9">
        <v>239</v>
      </c>
      <c r="M79" s="1">
        <v>53</v>
      </c>
      <c r="N79" s="9">
        <v>150</v>
      </c>
      <c r="O79" s="1" t="str">
        <f t="shared" si="30"/>
        <v>UPOLD Siege Mag8_15</v>
      </c>
      <c r="P79" s="1" t="s">
        <v>255</v>
      </c>
      <c r="Q79" s="1" t="s">
        <v>255</v>
      </c>
      <c r="R79" s="6"/>
      <c r="S79" s="7" t="s">
        <v>259</v>
      </c>
      <c r="T79" s="1" t="str">
        <f t="shared" si="32"/>
        <v>8 Schuss Spezial Magazin 15" zu Siege 300,Accueil,Outdoor plus,Armbrust,Zubehör,UPBOLT,UPBOLT</v>
      </c>
      <c r="U79" s="1" t="str">
        <f t="shared" si="33"/>
        <v>8 Schuss Spezial Magazin 15" zu Siege 300</v>
      </c>
      <c r="V79" s="1" t="str">
        <f t="shared" si="34"/>
        <v>8 Schuss Spezial Magazin 15" zu Siege 300,Accueil,Outdoor plus,Armbrust,Zubehör,UPBOLT,UPBOLT</v>
      </c>
      <c r="W79" s="1">
        <v>1</v>
      </c>
      <c r="X79" s="1">
        <v>1</v>
      </c>
      <c r="Y79" s="1" t="str">
        <f xml:space="preserve"> "http://usfh.ch/img/Armbrust_Zubehör/" &amp; G79 &amp; ".jpg"</f>
        <v>http://usfh.ch/img/Armbrust_Zubehör/UPOLD Siege Mag8_15.jpg</v>
      </c>
      <c r="Z79" s="1" t="str">
        <f t="shared" si="35"/>
        <v>UPOLD Siege Mag8_15</v>
      </c>
      <c r="AA79" s="8">
        <f t="shared" si="36"/>
        <v>239</v>
      </c>
      <c r="AB79" s="8">
        <f t="shared" si="37"/>
        <v>150</v>
      </c>
      <c r="AC79" s="1">
        <v>1</v>
      </c>
    </row>
    <row r="80" spans="1:29" ht="15" customHeight="1" x14ac:dyDescent="0.2">
      <c r="A80" s="1">
        <v>79</v>
      </c>
      <c r="B80" s="1"/>
      <c r="C80" s="1"/>
      <c r="D80" s="1"/>
      <c r="E80" s="1"/>
      <c r="F80" s="1">
        <v>1</v>
      </c>
      <c r="G80" s="2" t="s">
        <v>260</v>
      </c>
      <c r="H80" s="1">
        <v>1</v>
      </c>
      <c r="I80" s="1" t="s">
        <v>261</v>
      </c>
      <c r="J80" s="1" t="s">
        <v>36</v>
      </c>
      <c r="K80" s="1"/>
      <c r="L80" s="9">
        <v>55</v>
      </c>
      <c r="M80" s="1">
        <v>53</v>
      </c>
      <c r="N80" s="9">
        <v>30</v>
      </c>
      <c r="O80" s="1" t="str">
        <f t="shared" si="30"/>
        <v>UPOLD Siege 2bein</v>
      </c>
      <c r="P80" s="1" t="s">
        <v>255</v>
      </c>
      <c r="Q80" s="1" t="s">
        <v>255</v>
      </c>
      <c r="R80" s="6"/>
      <c r="S80" s="7"/>
      <c r="T80" s="1" t="str">
        <f t="shared" si="32"/>
        <v>Klappadappter Zweibein Siege 300,Accueil,Outdoor plus,Armbrust,Zubehör,UPBOLT,UPBOLT</v>
      </c>
      <c r="U80" s="1" t="str">
        <f t="shared" si="33"/>
        <v>Klappadappter Zweibein Siege 300</v>
      </c>
      <c r="V80" s="1" t="str">
        <f t="shared" si="34"/>
        <v>Klappadappter Zweibein Siege 300,Accueil,Outdoor plus,Armbrust,Zubehör,UPBOLT,UPBOLT</v>
      </c>
      <c r="W80" s="1">
        <v>1</v>
      </c>
      <c r="X80" s="1">
        <v>1</v>
      </c>
      <c r="Y80" s="1" t="str">
        <f t="shared" ref="Y80:Y111" si="38" xml:space="preserve"> "http://usfh.ch/img/Armbrust_Zubehör/" &amp; G80 &amp; ".jpg"</f>
        <v>http://usfh.ch/img/Armbrust_Zubehör/UPOLD Siege 2bein.jpg</v>
      </c>
      <c r="Z80" s="1" t="str">
        <f t="shared" si="35"/>
        <v>UPOLD Siege 2bein</v>
      </c>
      <c r="AA80" s="8">
        <f t="shared" si="36"/>
        <v>55</v>
      </c>
      <c r="AB80" s="8">
        <f t="shared" si="37"/>
        <v>30</v>
      </c>
      <c r="AC80" s="1">
        <v>0.3</v>
      </c>
    </row>
    <row r="81" spans="1:29" ht="15" customHeight="1" x14ac:dyDescent="0.25">
      <c r="A81" s="1">
        <v>80</v>
      </c>
      <c r="B81" s="1"/>
      <c r="C81" s="1"/>
      <c r="D81" s="1"/>
      <c r="E81" s="1"/>
      <c r="F81" s="1">
        <v>7</v>
      </c>
      <c r="G81" s="2" t="s">
        <v>262</v>
      </c>
      <c r="H81" s="1">
        <v>1</v>
      </c>
      <c r="I81" s="7" t="s">
        <v>263</v>
      </c>
      <c r="J81" s="1" t="s">
        <v>36</v>
      </c>
      <c r="K81" s="1"/>
      <c r="L81" s="9">
        <v>69</v>
      </c>
      <c r="M81" s="1">
        <v>53</v>
      </c>
      <c r="N81" s="9">
        <v>10</v>
      </c>
      <c r="O81" s="1" t="str">
        <f t="shared" si="30"/>
        <v>MSNJ-CB07BD</v>
      </c>
      <c r="P81" s="10" t="s">
        <v>295</v>
      </c>
      <c r="Q81" s="10" t="s">
        <v>295</v>
      </c>
      <c r="R81" s="6"/>
      <c r="S81" s="7"/>
      <c r="T81" s="1" t="str">
        <f t="shared" si="32"/>
        <v>Cobra R9 bolt with broadhead 6stk,Accueil,Outdoor plus,Armbrust,Zubehör,Ningbo Musen,Ningbo Musen</v>
      </c>
      <c r="U81" s="1" t="str">
        <f t="shared" si="33"/>
        <v>Cobra R9 bolt with broadhead 6stk</v>
      </c>
      <c r="V81" s="1" t="str">
        <f t="shared" si="34"/>
        <v>Cobra R9 bolt with broadhead 6stk,Accueil,Outdoor plus,Armbrust,Zubehör,Ningbo Musen,Ningbo Musen</v>
      </c>
      <c r="W81" s="1">
        <v>1</v>
      </c>
      <c r="X81" s="1">
        <v>1</v>
      </c>
      <c r="Y81" s="1" t="str">
        <f t="shared" si="38"/>
        <v>http://usfh.ch/img/Armbrust_Zubehör/MSNJ-CB07BD.jpg</v>
      </c>
      <c r="Z81" s="1" t="str">
        <f t="shared" si="35"/>
        <v>MSNJ-CB07BD</v>
      </c>
      <c r="AA81" s="8">
        <f t="shared" si="36"/>
        <v>483</v>
      </c>
      <c r="AB81" s="8">
        <f t="shared" si="37"/>
        <v>70</v>
      </c>
      <c r="AC81" s="1">
        <v>0.3</v>
      </c>
    </row>
    <row r="82" spans="1:29" ht="15" customHeight="1" x14ac:dyDescent="0.25">
      <c r="A82" s="1">
        <v>81</v>
      </c>
      <c r="B82" s="1"/>
      <c r="C82" s="1"/>
      <c r="D82" s="1"/>
      <c r="E82" s="1"/>
      <c r="F82" s="1">
        <v>0</v>
      </c>
      <c r="G82" s="2" t="s">
        <v>264</v>
      </c>
      <c r="H82" s="1">
        <v>1</v>
      </c>
      <c r="I82" s="1" t="s">
        <v>265</v>
      </c>
      <c r="J82" s="1" t="s">
        <v>36</v>
      </c>
      <c r="K82" s="1"/>
      <c r="L82" s="9">
        <v>76</v>
      </c>
      <c r="M82" s="1">
        <v>53</v>
      </c>
      <c r="N82" s="9">
        <v>19</v>
      </c>
      <c r="O82" s="1" t="str">
        <f t="shared" si="30"/>
        <v>MSNJ-CB07</v>
      </c>
      <c r="P82" s="10" t="s">
        <v>295</v>
      </c>
      <c r="Q82" s="10" t="s">
        <v>295</v>
      </c>
      <c r="R82" s="6"/>
      <c r="S82" s="7"/>
      <c r="T82" s="1" t="str">
        <f t="shared" si="32"/>
        <v>Cobra R9 bolt with target tip 20stk,Accueil,Outdoor plus,Armbrust,Zubehör,Ningbo Musen,Ningbo Musen</v>
      </c>
      <c r="U82" s="1" t="str">
        <f t="shared" si="33"/>
        <v>Cobra R9 bolt with target tip 20stk</v>
      </c>
      <c r="V82" s="1" t="str">
        <f t="shared" si="34"/>
        <v>Cobra R9 bolt with target tip 20stk,Accueil,Outdoor plus,Armbrust,Zubehör,Ningbo Musen,Ningbo Musen</v>
      </c>
      <c r="W82" s="1">
        <v>1</v>
      </c>
      <c r="X82" s="1">
        <v>1</v>
      </c>
      <c r="Y82" s="1" t="str">
        <f t="shared" si="38"/>
        <v>http://usfh.ch/img/Armbrust_Zubehör/MSNJ-CB07.jpg</v>
      </c>
      <c r="Z82" s="1" t="str">
        <f t="shared" si="35"/>
        <v>MSNJ-CB07</v>
      </c>
      <c r="AA82" s="8">
        <f t="shared" si="36"/>
        <v>0</v>
      </c>
      <c r="AB82" s="8">
        <f t="shared" si="37"/>
        <v>0</v>
      </c>
      <c r="AC82" s="1">
        <v>0.27</v>
      </c>
    </row>
    <row r="83" spans="1:29" ht="15" customHeight="1" x14ac:dyDescent="0.25">
      <c r="A83" s="1">
        <v>82</v>
      </c>
      <c r="B83" s="1"/>
      <c r="C83" s="1"/>
      <c r="D83" s="1"/>
      <c r="E83" s="1"/>
      <c r="F83" s="1">
        <v>20</v>
      </c>
      <c r="G83" s="2" t="s">
        <v>266</v>
      </c>
      <c r="H83" s="1">
        <v>1</v>
      </c>
      <c r="I83" s="1" t="s">
        <v>267</v>
      </c>
      <c r="J83" s="1" t="s">
        <v>36</v>
      </c>
      <c r="K83" s="1"/>
      <c r="L83" s="9">
        <v>56</v>
      </c>
      <c r="M83" s="1">
        <v>53</v>
      </c>
      <c r="N83" s="9">
        <v>14</v>
      </c>
      <c r="O83" s="1" t="str">
        <f t="shared" si="30"/>
        <v>MSNJ-65MC</v>
      </c>
      <c r="P83" s="10" t="s">
        <v>295</v>
      </c>
      <c r="Q83" s="10" t="s">
        <v>295</v>
      </c>
      <c r="R83" s="6"/>
      <c r="S83" s="7"/>
      <c r="T83" s="1" t="str">
        <f t="shared" si="32"/>
        <v>Pistol bolt 6.5” with target Tip 20stk,Accueil,Outdoor plus,Armbrust,Zubehör,Ningbo Musen,Ningbo Musen</v>
      </c>
      <c r="U83" s="1" t="str">
        <f t="shared" si="33"/>
        <v>Pistol bolt 6.5” with target Tip 20stk</v>
      </c>
      <c r="V83" s="1" t="str">
        <f t="shared" si="34"/>
        <v>Pistol bolt 6.5” with target Tip 20stk,Accueil,Outdoor plus,Armbrust,Zubehör,Ningbo Musen,Ningbo Musen</v>
      </c>
      <c r="W83" s="1">
        <v>1</v>
      </c>
      <c r="X83" s="1">
        <v>1</v>
      </c>
      <c r="Y83" s="1" t="str">
        <f t="shared" si="38"/>
        <v>http://usfh.ch/img/Armbrust_Zubehör/MSNJ-65MC.jpg</v>
      </c>
      <c r="Z83" s="1" t="str">
        <f t="shared" si="35"/>
        <v>MSNJ-65MC</v>
      </c>
      <c r="AA83" s="8">
        <f t="shared" si="36"/>
        <v>1120</v>
      </c>
      <c r="AB83" s="8">
        <f t="shared" si="37"/>
        <v>280</v>
      </c>
      <c r="AC83" s="1">
        <v>0.2</v>
      </c>
    </row>
    <row r="84" spans="1:29" ht="15" customHeight="1" x14ac:dyDescent="0.25">
      <c r="A84" s="1">
        <v>83</v>
      </c>
      <c r="B84" s="1"/>
      <c r="C84" s="1"/>
      <c r="D84" s="1"/>
      <c r="E84" s="1"/>
      <c r="F84" s="1">
        <v>5</v>
      </c>
      <c r="G84" s="2" t="s">
        <v>268</v>
      </c>
      <c r="H84" s="1">
        <v>1</v>
      </c>
      <c r="I84" s="1" t="s">
        <v>269</v>
      </c>
      <c r="J84" s="1" t="s">
        <v>36</v>
      </c>
      <c r="K84" s="1"/>
      <c r="L84" s="9">
        <v>59</v>
      </c>
      <c r="M84" s="1">
        <v>53</v>
      </c>
      <c r="N84" s="9">
        <v>15</v>
      </c>
      <c r="O84" s="1" t="str">
        <f t="shared" si="30"/>
        <v>MSNJ-65MCBD</v>
      </c>
      <c r="P84" s="10" t="s">
        <v>295</v>
      </c>
      <c r="Q84" s="10" t="s">
        <v>295</v>
      </c>
      <c r="R84" s="6"/>
      <c r="S84" s="7"/>
      <c r="T84" s="1" t="str">
        <f t="shared" si="32"/>
        <v>Pistol bolt 6.5” with broadhead 6stk,Accueil,Outdoor plus,Armbrust,Zubehör,Ningbo Musen,Ningbo Musen</v>
      </c>
      <c r="U84" s="1" t="str">
        <f t="shared" si="33"/>
        <v>Pistol bolt 6.5” with broadhead 6stk</v>
      </c>
      <c r="V84" s="1" t="str">
        <f t="shared" si="34"/>
        <v>Pistol bolt 6.5” with broadhead 6stk,Accueil,Outdoor plus,Armbrust,Zubehör,Ningbo Musen,Ningbo Musen</v>
      </c>
      <c r="W84" s="1">
        <v>1</v>
      </c>
      <c r="X84" s="1">
        <v>1</v>
      </c>
      <c r="Y84" s="1" t="str">
        <f t="shared" si="38"/>
        <v>http://usfh.ch/img/Armbrust_Zubehör/MSNJ-65MCBD.jpg</v>
      </c>
      <c r="Z84" s="1" t="str">
        <f t="shared" si="35"/>
        <v>MSNJ-65MCBD</v>
      </c>
      <c r="AA84" s="8">
        <f t="shared" si="36"/>
        <v>295</v>
      </c>
      <c r="AB84" s="8">
        <f t="shared" si="37"/>
        <v>75</v>
      </c>
      <c r="AC84" s="1">
        <v>0.2</v>
      </c>
    </row>
    <row r="85" spans="1:29" ht="15" customHeight="1" x14ac:dyDescent="0.2">
      <c r="A85" s="1">
        <v>84</v>
      </c>
      <c r="B85" s="1"/>
      <c r="C85" s="1"/>
      <c r="D85" s="1"/>
      <c r="E85" s="1"/>
      <c r="F85" s="1">
        <v>0</v>
      </c>
      <c r="G85" s="2" t="s">
        <v>270</v>
      </c>
      <c r="H85" s="1">
        <v>1</v>
      </c>
      <c r="I85" s="1" t="s">
        <v>271</v>
      </c>
      <c r="J85" s="1" t="s">
        <v>36</v>
      </c>
      <c r="K85" s="1"/>
      <c r="L85" s="9">
        <v>45</v>
      </c>
      <c r="M85" s="1">
        <v>53</v>
      </c>
      <c r="N85" s="9">
        <v>24.6</v>
      </c>
      <c r="O85" s="1" t="str">
        <f t="shared" si="30"/>
        <v>0000419</v>
      </c>
      <c r="P85" s="1" t="s">
        <v>34</v>
      </c>
      <c r="Q85" s="1" t="s">
        <v>34</v>
      </c>
      <c r="R85" s="6"/>
      <c r="S85" s="7" t="s">
        <v>272</v>
      </c>
      <c r="T85" s="1" t="str">
        <f t="shared" si="32"/>
        <v>AR-6 Stinger II – Wurfarme 55lbs,Accueil,Outdoor plus,Armbrust,Zubehör,Steambow,Steambow</v>
      </c>
      <c r="U85" s="1" t="str">
        <f t="shared" si="33"/>
        <v>AR-6 Stinger II – Wurfarme 55lbs</v>
      </c>
      <c r="V85" s="1" t="str">
        <f t="shared" si="34"/>
        <v>AR-6 Stinger II – Wurfarme 55lbs,Accueil,Outdoor plus,Armbrust,Zubehör,Steambow,Steambow</v>
      </c>
      <c r="W85" s="1">
        <v>1</v>
      </c>
      <c r="X85" s="1">
        <v>1</v>
      </c>
      <c r="Y85" s="1" t="str">
        <f t="shared" si="38"/>
        <v>http://usfh.ch/img/Armbrust_Zubehör/0000419.jpg</v>
      </c>
      <c r="Z85" s="1" t="str">
        <f t="shared" si="35"/>
        <v>0000419</v>
      </c>
      <c r="AA85" s="8">
        <f t="shared" si="36"/>
        <v>0</v>
      </c>
      <c r="AB85" s="8">
        <f t="shared" si="37"/>
        <v>0</v>
      </c>
      <c r="AC85" s="1">
        <v>0.5</v>
      </c>
    </row>
    <row r="86" spans="1:29" ht="15" customHeight="1" x14ac:dyDescent="0.2">
      <c r="A86" s="1">
        <v>85</v>
      </c>
      <c r="B86" s="1"/>
      <c r="C86" s="1"/>
      <c r="D86" s="1"/>
      <c r="E86" s="1"/>
      <c r="F86" s="1">
        <v>0</v>
      </c>
      <c r="G86" s="2" t="s">
        <v>196</v>
      </c>
      <c r="H86" s="1">
        <v>1</v>
      </c>
      <c r="I86" s="1" t="s">
        <v>197</v>
      </c>
      <c r="J86" s="1" t="s">
        <v>36</v>
      </c>
      <c r="K86" s="1"/>
      <c r="L86" s="9">
        <v>45</v>
      </c>
      <c r="M86" s="1">
        <v>53</v>
      </c>
      <c r="N86" s="9">
        <v>24.7</v>
      </c>
      <c r="O86" s="1" t="str">
        <f t="shared" si="30"/>
        <v>0000541</v>
      </c>
      <c r="P86" s="1" t="s">
        <v>34</v>
      </c>
      <c r="Q86" s="1" t="s">
        <v>34</v>
      </c>
      <c r="R86" s="6"/>
      <c r="S86" s="7" t="s">
        <v>198</v>
      </c>
      <c r="T86" s="1" t="str">
        <f t="shared" si="32"/>
        <v>AR-6 Stinger II Upgrade-Kit “Schnellwechsel-Wurfarme”,Accueil,Outdoor plus,Armbrust,Zubehör,Steambow,Steambow</v>
      </c>
      <c r="U86" s="1" t="str">
        <f t="shared" si="33"/>
        <v>AR-6 Stinger II Upgrade-Kit “Schnellwechsel-Wurfarme”</v>
      </c>
      <c r="V86" s="1" t="str">
        <f t="shared" si="34"/>
        <v>AR-6 Stinger II Upgrade-Kit “Schnellwechsel-Wurfarme”,Accueil,Outdoor plus,Armbrust,Zubehör,Steambow,Steambow</v>
      </c>
      <c r="W86" s="1">
        <v>1</v>
      </c>
      <c r="X86" s="1">
        <v>1</v>
      </c>
      <c r="Y86" s="1" t="str">
        <f t="shared" si="38"/>
        <v>http://usfh.ch/img/Armbrust_Zubehör/0000541.jpg</v>
      </c>
      <c r="Z86" s="1" t="str">
        <f t="shared" si="35"/>
        <v>0000541</v>
      </c>
      <c r="AA86" s="8">
        <f t="shared" si="36"/>
        <v>0</v>
      </c>
      <c r="AB86" s="8">
        <f t="shared" si="37"/>
        <v>0</v>
      </c>
      <c r="AC86" s="1">
        <v>0.5</v>
      </c>
    </row>
    <row r="87" spans="1:29" ht="15" customHeight="1" x14ac:dyDescent="0.2">
      <c r="A87" s="1">
        <v>86</v>
      </c>
      <c r="B87" s="1"/>
      <c r="C87" s="1"/>
      <c r="D87" s="1"/>
      <c r="E87" s="1"/>
      <c r="F87" s="1">
        <v>2</v>
      </c>
      <c r="G87" s="2" t="s">
        <v>273</v>
      </c>
      <c r="H87" s="1">
        <v>1</v>
      </c>
      <c r="I87" s="1" t="s">
        <v>274</v>
      </c>
      <c r="J87" s="1" t="s">
        <v>36</v>
      </c>
      <c r="K87" s="1"/>
      <c r="L87" s="9">
        <v>29</v>
      </c>
      <c r="M87" s="1">
        <v>53</v>
      </c>
      <c r="N87" s="9">
        <v>12</v>
      </c>
      <c r="O87" s="1" t="str">
        <f t="shared" si="30"/>
        <v>0000533</v>
      </c>
      <c r="P87" s="1" t="s">
        <v>34</v>
      </c>
      <c r="Q87" s="1" t="s">
        <v>34</v>
      </c>
      <c r="R87" s="6"/>
      <c r="S87" s="12" t="s">
        <v>275</v>
      </c>
      <c r="T87" s="1" t="str">
        <f t="shared" si="32"/>
        <v>AR-6 Stinger II Tuning Abzug,Accueil,Outdoor plus,Armbrust,Zubehör,Steambow,Steambow</v>
      </c>
      <c r="U87" s="1" t="str">
        <f t="shared" si="33"/>
        <v>AR-6 Stinger II Tuning Abzug</v>
      </c>
      <c r="V87" s="1" t="str">
        <f t="shared" si="34"/>
        <v>AR-6 Stinger II Tuning Abzug,Accueil,Outdoor plus,Armbrust,Zubehör,Steambow,Steambow</v>
      </c>
      <c r="W87" s="1">
        <v>1</v>
      </c>
      <c r="X87" s="1">
        <v>1</v>
      </c>
      <c r="Y87" s="1" t="str">
        <f t="shared" si="38"/>
        <v>http://usfh.ch/img/Armbrust_Zubehör/0000533.jpg</v>
      </c>
      <c r="Z87" s="1" t="str">
        <f t="shared" si="35"/>
        <v>0000533</v>
      </c>
      <c r="AA87" s="8">
        <f t="shared" si="36"/>
        <v>58</v>
      </c>
      <c r="AB87" s="8">
        <f t="shared" si="37"/>
        <v>24</v>
      </c>
      <c r="AC87" s="1">
        <v>0.2</v>
      </c>
    </row>
    <row r="88" spans="1:29" ht="15" customHeight="1" x14ac:dyDescent="0.2">
      <c r="A88" s="1">
        <v>87</v>
      </c>
      <c r="B88" s="1"/>
      <c r="C88" s="1"/>
      <c r="D88" s="1"/>
      <c r="E88" s="1"/>
      <c r="F88" s="1">
        <v>2</v>
      </c>
      <c r="G88" s="2" t="s">
        <v>276</v>
      </c>
      <c r="H88" s="1">
        <v>1</v>
      </c>
      <c r="I88" s="1" t="s">
        <v>277</v>
      </c>
      <c r="J88" s="1" t="s">
        <v>36</v>
      </c>
      <c r="K88" s="1"/>
      <c r="L88" s="9">
        <v>4</v>
      </c>
      <c r="M88" s="1">
        <v>53</v>
      </c>
      <c r="N88" s="9">
        <v>1.1000000000000001</v>
      </c>
      <c r="O88" s="1" t="str">
        <f t="shared" si="30"/>
        <v>0000621</v>
      </c>
      <c r="P88" s="1" t="s">
        <v>34</v>
      </c>
      <c r="Q88" s="1" t="s">
        <v>34</v>
      </c>
      <c r="R88" s="6"/>
      <c r="S88" s="7" t="s">
        <v>278</v>
      </c>
      <c r="T88" s="1" t="str">
        <f t="shared" si="32"/>
        <v>AR-6 Stinger II Tactical &amp; Compact: Rändelschraube für Magazin,Accueil,Outdoor plus,Armbrust,Zubehör,Steambow,Steambow</v>
      </c>
      <c r="U88" s="1" t="str">
        <f t="shared" si="33"/>
        <v>AR-6 Stinger II Tactical &amp; Compact: Rändelschraube für Magazin</v>
      </c>
      <c r="V88" s="1" t="str">
        <f t="shared" si="34"/>
        <v>AR-6 Stinger II Tactical &amp; Compact: Rändelschraube für Magazin,Accueil,Outdoor plus,Armbrust,Zubehör,Steambow,Steambow</v>
      </c>
      <c r="W88" s="1">
        <v>1</v>
      </c>
      <c r="X88" s="1">
        <v>1</v>
      </c>
      <c r="Y88" s="1" t="str">
        <f t="shared" si="38"/>
        <v>http://usfh.ch/img/Armbrust_Zubehör/0000621.jpg</v>
      </c>
      <c r="Z88" s="1" t="str">
        <f t="shared" si="35"/>
        <v>0000621</v>
      </c>
      <c r="AA88" s="8">
        <f t="shared" si="36"/>
        <v>8</v>
      </c>
      <c r="AB88" s="8">
        <f t="shared" si="37"/>
        <v>2.2000000000000002</v>
      </c>
      <c r="AC88" s="1">
        <v>0.1</v>
      </c>
    </row>
    <row r="89" spans="1:29" ht="15" customHeight="1" x14ac:dyDescent="0.2">
      <c r="A89" s="1">
        <v>88</v>
      </c>
      <c r="B89" s="1"/>
      <c r="C89" s="1"/>
      <c r="D89" s="1"/>
      <c r="E89" s="1"/>
      <c r="F89" s="1">
        <v>2</v>
      </c>
      <c r="G89" s="2" t="s">
        <v>279</v>
      </c>
      <c r="H89" s="1">
        <v>1</v>
      </c>
      <c r="I89" s="1" t="s">
        <v>280</v>
      </c>
      <c r="J89" s="1" t="s">
        <v>36</v>
      </c>
      <c r="K89" s="1"/>
      <c r="L89" s="9">
        <v>19</v>
      </c>
      <c r="M89" s="1">
        <v>53</v>
      </c>
      <c r="N89" s="9">
        <v>7</v>
      </c>
      <c r="O89" s="1" t="str">
        <f t="shared" si="30"/>
        <v>0000149</v>
      </c>
      <c r="P89" s="1" t="s">
        <v>34</v>
      </c>
      <c r="Q89" s="1" t="s">
        <v>34</v>
      </c>
      <c r="R89" s="6"/>
      <c r="S89" s="7" t="s">
        <v>281</v>
      </c>
      <c r="T89" s="1" t="str">
        <f t="shared" si="32"/>
        <v>AR-6 Stinger taktischer vertikaler Vordergriff,Accueil,Outdoor plus,Armbrust,Zubehör,Steambow,Steambow</v>
      </c>
      <c r="U89" s="1" t="str">
        <f t="shared" si="33"/>
        <v>AR-6 Stinger taktischer vertikaler Vordergriff</v>
      </c>
      <c r="V89" s="1" t="str">
        <f t="shared" si="34"/>
        <v>AR-6 Stinger taktischer vertikaler Vordergriff,Accueil,Outdoor plus,Armbrust,Zubehör,Steambow,Steambow</v>
      </c>
      <c r="W89" s="1">
        <v>1</v>
      </c>
      <c r="X89" s="1">
        <v>1</v>
      </c>
      <c r="Y89" s="1" t="str">
        <f t="shared" si="38"/>
        <v>http://usfh.ch/img/Armbrust_Zubehör/0000149.jpg</v>
      </c>
      <c r="Z89" s="1" t="str">
        <f t="shared" si="35"/>
        <v>0000149</v>
      </c>
      <c r="AA89" s="8">
        <f t="shared" si="36"/>
        <v>38</v>
      </c>
      <c r="AB89" s="8">
        <f t="shared" si="37"/>
        <v>14</v>
      </c>
      <c r="AC89" s="1">
        <v>0.2</v>
      </c>
    </row>
    <row r="90" spans="1:29" ht="15" customHeight="1" x14ac:dyDescent="0.2">
      <c r="A90" s="1">
        <v>89</v>
      </c>
      <c r="B90" s="1"/>
      <c r="C90" s="1"/>
      <c r="D90" s="1"/>
      <c r="E90" s="1"/>
      <c r="F90" s="1">
        <v>2</v>
      </c>
      <c r="G90" s="2" t="s">
        <v>282</v>
      </c>
      <c r="H90" s="1">
        <v>1</v>
      </c>
      <c r="I90" s="1" t="s">
        <v>283</v>
      </c>
      <c r="J90" s="1" t="s">
        <v>36</v>
      </c>
      <c r="K90" s="1"/>
      <c r="L90" s="9">
        <v>189</v>
      </c>
      <c r="M90" s="1">
        <v>53</v>
      </c>
      <c r="N90" s="9">
        <v>91</v>
      </c>
      <c r="O90" s="1" t="str">
        <f t="shared" ref="O90" si="39">G90</f>
        <v>A017203</v>
      </c>
      <c r="P90" s="1" t="s">
        <v>28</v>
      </c>
      <c r="Q90" s="1" t="s">
        <v>32</v>
      </c>
      <c r="R90" s="6"/>
      <c r="S90" s="7" t="s">
        <v>284</v>
      </c>
      <c r="T90" s="1" t="str">
        <f t="shared" si="32"/>
        <v>RAVIN Carbon Armbrustbolzen .001 (6St.),Accueil,Outdoor plus,Armbrust,Zubehör,SSA,Ravin</v>
      </c>
      <c r="U90" s="1" t="str">
        <f t="shared" ref="U90" si="40">I90</f>
        <v>RAVIN Carbon Armbrustbolzen .001 (6St.)</v>
      </c>
      <c r="V90" s="1" t="str">
        <f t="shared" ref="V90" si="41">T90</f>
        <v>RAVIN Carbon Armbrustbolzen .001 (6St.),Accueil,Outdoor plus,Armbrust,Zubehör,SSA,Ravin</v>
      </c>
      <c r="W90" s="1">
        <v>1</v>
      </c>
      <c r="X90" s="1">
        <v>1</v>
      </c>
      <c r="Y90" s="1" t="str">
        <f t="shared" si="38"/>
        <v>http://usfh.ch/img/Armbrust_Zubehör/A017203.jpg</v>
      </c>
      <c r="Z90" s="1" t="str">
        <f t="shared" ref="Z90" si="42">G90</f>
        <v>A017203</v>
      </c>
      <c r="AA90" s="8">
        <f t="shared" ref="AA90" si="43">F90*L90</f>
        <v>378</v>
      </c>
      <c r="AB90" s="8">
        <f t="shared" ref="AB90" si="44">F90*N90</f>
        <v>182</v>
      </c>
      <c r="AC90" s="1">
        <v>0.2</v>
      </c>
    </row>
    <row r="91" spans="1:29" ht="15" customHeight="1" x14ac:dyDescent="0.2">
      <c r="A91" s="1">
        <v>90</v>
      </c>
      <c r="B91" s="1"/>
      <c r="C91" s="1"/>
      <c r="D91" s="1"/>
      <c r="E91" s="1"/>
      <c r="F91" s="1">
        <v>2</v>
      </c>
      <c r="G91" s="2" t="s">
        <v>285</v>
      </c>
      <c r="H91" s="1">
        <v>1</v>
      </c>
      <c r="I91" s="1" t="s">
        <v>286</v>
      </c>
      <c r="J91" s="1" t="s">
        <v>36</v>
      </c>
      <c r="K91" s="1"/>
      <c r="L91" s="9">
        <v>119</v>
      </c>
      <c r="M91" s="1">
        <v>53</v>
      </c>
      <c r="N91" s="9">
        <v>91</v>
      </c>
      <c r="O91" s="1" t="str">
        <f t="shared" ref="O91" si="45">G91</f>
        <v>A055459</v>
      </c>
      <c r="P91" s="1" t="s">
        <v>28</v>
      </c>
      <c r="Q91" s="1" t="s">
        <v>32</v>
      </c>
      <c r="R91" s="6"/>
      <c r="S91" s="7" t="s">
        <v>287</v>
      </c>
      <c r="T91" s="1" t="str">
        <f t="shared" si="32"/>
        <v>RAVIN Carbon Leucht-Armbrustbolzen .003 (3St.),Accueil,Outdoor plus,Armbrust,Zubehör,SSA,Ravin</v>
      </c>
      <c r="U91" s="1" t="str">
        <f t="shared" ref="U91" si="46">I91</f>
        <v>RAVIN Carbon Leucht-Armbrustbolzen .003 (3St.)</v>
      </c>
      <c r="V91" s="1" t="str">
        <f t="shared" ref="V91" si="47">T91</f>
        <v>RAVIN Carbon Leucht-Armbrustbolzen .003 (3St.),Accueil,Outdoor plus,Armbrust,Zubehör,SSA,Ravin</v>
      </c>
      <c r="W91" s="1">
        <v>1</v>
      </c>
      <c r="X91" s="1">
        <v>1</v>
      </c>
      <c r="Y91" s="1" t="str">
        <f t="shared" si="38"/>
        <v>http://usfh.ch/img/Armbrust_Zubehör/A055459.jpg</v>
      </c>
      <c r="Z91" s="1" t="str">
        <f t="shared" ref="Z91" si="48">G91</f>
        <v>A055459</v>
      </c>
      <c r="AA91" s="8">
        <f t="shared" ref="AA91" si="49">F91*L91</f>
        <v>238</v>
      </c>
      <c r="AB91" s="8">
        <f t="shared" ref="AB91" si="50">F91*N91</f>
        <v>182</v>
      </c>
      <c r="AC91" s="1">
        <v>0.1</v>
      </c>
    </row>
    <row r="92" spans="1:29" ht="15" customHeight="1" x14ac:dyDescent="0.25">
      <c r="A92" s="1">
        <v>91</v>
      </c>
      <c r="B92" s="1"/>
      <c r="C92" s="1"/>
      <c r="D92" s="1"/>
      <c r="E92" s="1"/>
      <c r="F92" s="1">
        <v>2</v>
      </c>
      <c r="G92" s="2" t="s">
        <v>264</v>
      </c>
      <c r="H92" s="1">
        <v>1</v>
      </c>
      <c r="I92" s="1" t="s">
        <v>291</v>
      </c>
      <c r="J92" s="1" t="s">
        <v>36</v>
      </c>
      <c r="K92" s="1"/>
      <c r="L92" s="9">
        <v>78</v>
      </c>
      <c r="M92" s="1">
        <v>53</v>
      </c>
      <c r="N92" s="9">
        <v>25</v>
      </c>
      <c r="O92" s="1" t="str">
        <f t="shared" ref="O92" si="51">G92</f>
        <v>MSNJ-CB07</v>
      </c>
      <c r="P92" s="10" t="s">
        <v>295</v>
      </c>
      <c r="Q92" s="10" t="s">
        <v>295</v>
      </c>
      <c r="R92" s="6"/>
      <c r="S92" s="7" t="s">
        <v>287</v>
      </c>
      <c r="T92" s="1" t="str">
        <f t="shared" si="32"/>
        <v>Cobra R9/Adder bolt with target tip 20stk ,Accueil,Outdoor plus,Armbrust,Zubehör,Ningbo Musen,Ningbo Musen</v>
      </c>
      <c r="U92" s="1" t="str">
        <f t="shared" ref="U92" si="52">I92</f>
        <v xml:space="preserve">Cobra R9/Adder bolt with target tip 20stk </v>
      </c>
      <c r="V92" s="1" t="str">
        <f t="shared" ref="V92" si="53">T92</f>
        <v>Cobra R9/Adder bolt with target tip 20stk ,Accueil,Outdoor plus,Armbrust,Zubehör,Ningbo Musen,Ningbo Musen</v>
      </c>
      <c r="W92" s="1">
        <v>1</v>
      </c>
      <c r="X92" s="1">
        <v>1</v>
      </c>
      <c r="Y92" s="1" t="str">
        <f t="shared" si="38"/>
        <v>http://usfh.ch/img/Armbrust_Zubehör/MSNJ-CB07.jpg</v>
      </c>
      <c r="Z92" s="1" t="str">
        <f t="shared" ref="Z92" si="54">G92</f>
        <v>MSNJ-CB07</v>
      </c>
      <c r="AA92" s="8">
        <f t="shared" ref="AA92" si="55">F92*L92</f>
        <v>156</v>
      </c>
      <c r="AB92" s="8">
        <f t="shared" ref="AB92" si="56">F92*N92</f>
        <v>50</v>
      </c>
      <c r="AC92" s="1">
        <v>0.25</v>
      </c>
    </row>
    <row r="93" spans="1:29" ht="15" customHeight="1" x14ac:dyDescent="0.25">
      <c r="A93" s="1">
        <v>92</v>
      </c>
      <c r="B93" s="1"/>
      <c r="C93" s="1"/>
      <c r="D93" s="1"/>
      <c r="E93" s="1"/>
      <c r="F93" s="1">
        <v>1</v>
      </c>
      <c r="G93" s="2" t="s">
        <v>293</v>
      </c>
      <c r="H93" s="1">
        <v>1</v>
      </c>
      <c r="I93" s="1" t="s">
        <v>294</v>
      </c>
      <c r="J93" s="1" t="s">
        <v>36</v>
      </c>
      <c r="K93" s="1"/>
      <c r="L93" s="9">
        <v>78</v>
      </c>
      <c r="M93" s="1">
        <v>53</v>
      </c>
      <c r="N93" s="9">
        <v>28</v>
      </c>
      <c r="O93" s="1" t="str">
        <f t="shared" ref="O93" si="57">G93</f>
        <v>MSNJ-CB15</v>
      </c>
      <c r="P93" s="10" t="s">
        <v>295</v>
      </c>
      <c r="Q93" s="10" t="s">
        <v>295</v>
      </c>
      <c r="R93" s="6"/>
      <c r="S93" s="7" t="s">
        <v>287</v>
      </c>
      <c r="T93" s="1" t="str">
        <f t="shared" si="32"/>
        <v>Cobra RX/R9 bolt with target tip 20stk ,Accueil,Outdoor plus,Armbrust,Zubehör,Ningbo Musen,Ningbo Musen</v>
      </c>
      <c r="U93" s="1" t="str">
        <f t="shared" ref="U93" si="58">I93</f>
        <v xml:space="preserve">Cobra RX/R9 bolt with target tip 20stk </v>
      </c>
      <c r="V93" s="1" t="str">
        <f t="shared" ref="V93" si="59">T93</f>
        <v>Cobra RX/R9 bolt with target tip 20stk ,Accueil,Outdoor plus,Armbrust,Zubehör,Ningbo Musen,Ningbo Musen</v>
      </c>
      <c r="W93" s="1">
        <v>1</v>
      </c>
      <c r="X93" s="1">
        <v>1</v>
      </c>
      <c r="Y93" s="1" t="str">
        <f t="shared" si="38"/>
        <v>http://usfh.ch/img/Armbrust_Zubehör/MSNJ-CB15.jpg</v>
      </c>
      <c r="Z93" s="1" t="str">
        <f t="shared" ref="Z93" si="60">G93</f>
        <v>MSNJ-CB15</v>
      </c>
      <c r="AA93" s="8">
        <f t="shared" ref="AA93" si="61">F93*L93</f>
        <v>78</v>
      </c>
      <c r="AB93" s="8">
        <f t="shared" ref="AB93" si="62">F93*N93</f>
        <v>28</v>
      </c>
      <c r="AC93" s="1">
        <v>0.5</v>
      </c>
    </row>
    <row r="94" spans="1:29" ht="15" customHeight="1" x14ac:dyDescent="0.25">
      <c r="A94" s="1">
        <v>93</v>
      </c>
      <c r="B94" s="1"/>
      <c r="C94" s="1"/>
      <c r="D94" s="1"/>
      <c r="E94" s="1"/>
      <c r="F94" s="1">
        <v>1</v>
      </c>
      <c r="G94" s="2" t="s">
        <v>300</v>
      </c>
      <c r="H94" s="1">
        <v>1</v>
      </c>
      <c r="I94" s="1" t="s">
        <v>302</v>
      </c>
      <c r="J94" s="1" t="s">
        <v>36</v>
      </c>
      <c r="K94" s="1"/>
      <c r="L94" s="9">
        <v>119</v>
      </c>
      <c r="M94" s="1">
        <v>53</v>
      </c>
      <c r="N94" s="9">
        <v>51.86</v>
      </c>
      <c r="O94" s="1" t="str">
        <f t="shared" ref="O94:O95" si="63">G94</f>
        <v>A069455</v>
      </c>
      <c r="P94" s="10" t="s">
        <v>250</v>
      </c>
      <c r="Q94" s="10" t="s">
        <v>29</v>
      </c>
      <c r="R94" s="6"/>
      <c r="S94" s="7" t="s">
        <v>303</v>
      </c>
      <c r="T94" s="1" t="str">
        <f t="shared" si="32"/>
        <v>ARMBRUSTBOLZEN CARBON 22" HYPERFLITE HEAT VANES ROT/WEISS 5/PACK,Accueil,Outdoor plus,Armbrust,Zubehör,ssa,Barnett</v>
      </c>
      <c r="U94" s="1" t="str">
        <f t="shared" ref="U94:U95" si="64">I94</f>
        <v>ARMBRUSTBOLZEN CARBON 22" HYPERFLITE HEAT VANES ROT/WEISS 5/PACK</v>
      </c>
      <c r="V94" s="1" t="str">
        <f t="shared" ref="V94:V95" si="65">T94</f>
        <v>ARMBRUSTBOLZEN CARBON 22" HYPERFLITE HEAT VANES ROT/WEISS 5/PACK,Accueil,Outdoor plus,Armbrust,Zubehör,ssa,Barnett</v>
      </c>
      <c r="W94" s="1">
        <v>1</v>
      </c>
      <c r="X94" s="1">
        <v>1</v>
      </c>
      <c r="Y94" s="1" t="str">
        <f t="shared" si="38"/>
        <v>http://usfh.ch/img/Armbrust_Zubehör/A069455.jpg</v>
      </c>
      <c r="Z94" s="1" t="str">
        <f t="shared" ref="Z94:Z95" si="66">G94</f>
        <v>A069455</v>
      </c>
      <c r="AA94" s="8">
        <f t="shared" ref="AA94:AA95" si="67">F94*L94</f>
        <v>119</v>
      </c>
      <c r="AB94" s="8">
        <f t="shared" ref="AB94:AB95" si="68">F94*N94</f>
        <v>51.86</v>
      </c>
      <c r="AC94" s="1">
        <v>0.2</v>
      </c>
    </row>
    <row r="95" spans="1:29" ht="15" customHeight="1" x14ac:dyDescent="0.25">
      <c r="A95" s="1">
        <v>94</v>
      </c>
      <c r="B95" s="1"/>
      <c r="C95" s="1"/>
      <c r="D95" s="1"/>
      <c r="E95" s="1"/>
      <c r="F95" s="1">
        <v>1</v>
      </c>
      <c r="G95" s="2" t="s">
        <v>301</v>
      </c>
      <c r="H95" s="1">
        <v>1</v>
      </c>
      <c r="I95" s="1" t="s">
        <v>305</v>
      </c>
      <c r="J95" s="1" t="s">
        <v>36</v>
      </c>
      <c r="K95" s="1"/>
      <c r="L95" s="9">
        <v>99</v>
      </c>
      <c r="M95" s="1">
        <v>53</v>
      </c>
      <c r="N95" s="9">
        <v>39.270000000000003</v>
      </c>
      <c r="O95" s="1" t="str">
        <f t="shared" si="63"/>
        <v>A046600</v>
      </c>
      <c r="P95" s="10" t="s">
        <v>250</v>
      </c>
      <c r="Q95" s="10" t="s">
        <v>304</v>
      </c>
      <c r="R95" s="6"/>
      <c r="S95" s="7" t="s">
        <v>306</v>
      </c>
      <c r="T95" s="1" t="str">
        <f t="shared" si="32"/>
        <v>CENTERPOINT 400 GRAIN 20" BOLZEN 6/PACK,Accueil,Outdoor plus,Armbrust,Zubehör,ssa,centerpoint</v>
      </c>
      <c r="U95" s="1" t="str">
        <f t="shared" si="64"/>
        <v>CENTERPOINT 400 GRAIN 20" BOLZEN 6/PACK</v>
      </c>
      <c r="V95" s="1" t="str">
        <f t="shared" si="65"/>
        <v>CENTERPOINT 400 GRAIN 20" BOLZEN 6/PACK,Accueil,Outdoor plus,Armbrust,Zubehör,ssa,centerpoint</v>
      </c>
      <c r="W95" s="1">
        <v>1</v>
      </c>
      <c r="X95" s="1">
        <v>1</v>
      </c>
      <c r="Y95" s="1" t="str">
        <f t="shared" si="38"/>
        <v>http://usfh.ch/img/Armbrust_Zubehör/A046600.jpg</v>
      </c>
      <c r="Z95" s="1" t="str">
        <f t="shared" si="66"/>
        <v>A046600</v>
      </c>
      <c r="AA95" s="8">
        <f t="shared" si="67"/>
        <v>99</v>
      </c>
      <c r="AB95" s="8">
        <f t="shared" si="68"/>
        <v>39.270000000000003</v>
      </c>
      <c r="AC95" s="1">
        <v>0.2</v>
      </c>
    </row>
    <row r="96" spans="1:29" ht="15" customHeight="1" x14ac:dyDescent="0.25">
      <c r="A96" s="1">
        <v>95</v>
      </c>
      <c r="B96" s="1"/>
      <c r="C96" s="1"/>
      <c r="D96" s="1"/>
      <c r="E96" s="1"/>
      <c r="F96" s="1">
        <v>0</v>
      </c>
      <c r="G96" s="2" t="s">
        <v>307</v>
      </c>
      <c r="H96" s="1">
        <v>1</v>
      </c>
      <c r="I96" s="1" t="s">
        <v>308</v>
      </c>
      <c r="J96" s="1" t="s">
        <v>36</v>
      </c>
      <c r="K96" s="1"/>
      <c r="L96" s="9">
        <v>39</v>
      </c>
      <c r="M96" s="1">
        <v>53</v>
      </c>
      <c r="N96" s="9">
        <v>13.9</v>
      </c>
      <c r="O96" s="1" t="str">
        <f t="shared" ref="O96" si="69">G96</f>
        <v>D-124A10</v>
      </c>
      <c r="P96" s="10" t="s">
        <v>27</v>
      </c>
      <c r="Q96" s="10" t="s">
        <v>27</v>
      </c>
      <c r="R96" s="6"/>
      <c r="S96" s="7" t="s">
        <v>313</v>
      </c>
      <c r="T96" s="1" t="str">
        <f t="shared" si="32"/>
        <v>Ek Archery Revo 7 original 6.5″ Carbon Bolzen 10er Pack,Accueil,Outdoor plus,Armbrust,Zubehör,Ek Archery,Ek Archery</v>
      </c>
      <c r="U96" s="1" t="str">
        <f t="shared" ref="U96" si="70">I96</f>
        <v>Ek Archery Revo 7 original 6.5″ Carbon Bolzen 10er Pack</v>
      </c>
      <c r="V96" s="1" t="str">
        <f t="shared" ref="V96" si="71">T96</f>
        <v>Ek Archery Revo 7 original 6.5″ Carbon Bolzen 10er Pack,Accueil,Outdoor plus,Armbrust,Zubehör,Ek Archery,Ek Archery</v>
      </c>
      <c r="W96" s="1">
        <v>1</v>
      </c>
      <c r="X96" s="1">
        <v>1</v>
      </c>
      <c r="Y96" s="1" t="str">
        <f t="shared" si="38"/>
        <v>http://usfh.ch/img/Armbrust_Zubehör/D-124A10.jpg</v>
      </c>
      <c r="Z96" s="1" t="str">
        <f t="shared" ref="Z96" si="72">G96</f>
        <v>D-124A10</v>
      </c>
      <c r="AA96" s="8">
        <f t="shared" ref="AA96" si="73">F96*L96</f>
        <v>0</v>
      </c>
      <c r="AB96" s="8">
        <f t="shared" ref="AB96" si="74">F96*N96</f>
        <v>0</v>
      </c>
      <c r="AC96" s="1">
        <v>0.2</v>
      </c>
    </row>
    <row r="97" spans="1:29" ht="15" customHeight="1" x14ac:dyDescent="0.25">
      <c r="A97" s="1">
        <v>96</v>
      </c>
      <c r="B97" s="1"/>
      <c r="C97" s="1"/>
      <c r="D97" s="1"/>
      <c r="E97" s="1"/>
      <c r="F97" s="1">
        <v>60</v>
      </c>
      <c r="G97" s="2" t="s">
        <v>309</v>
      </c>
      <c r="H97" s="1">
        <v>1</v>
      </c>
      <c r="I97" s="1" t="s">
        <v>310</v>
      </c>
      <c r="J97" s="1" t="s">
        <v>36</v>
      </c>
      <c r="K97" s="1"/>
      <c r="L97" s="9">
        <v>9</v>
      </c>
      <c r="M97" s="1">
        <v>53</v>
      </c>
      <c r="N97" s="9">
        <v>2.2000000000000002</v>
      </c>
      <c r="O97" s="1" t="str">
        <f t="shared" ref="O97" si="75">G97</f>
        <v>VD-105B</v>
      </c>
      <c r="P97" s="10" t="s">
        <v>27</v>
      </c>
      <c r="Q97" s="10" t="s">
        <v>27</v>
      </c>
      <c r="R97" s="6"/>
      <c r="S97" s="7" t="s">
        <v>310</v>
      </c>
      <c r="T97" s="1" t="str">
        <f t="shared" si="32"/>
        <v>CARBON ARROW 8.8mm 16" ,Accueil,Outdoor plus,Armbrust,Zubehör,Ek Archery,Ek Archery</v>
      </c>
      <c r="U97" s="1" t="str">
        <f t="shared" ref="U97" si="76">I97</f>
        <v xml:space="preserve">CARBON ARROW 8.8mm 16" </v>
      </c>
      <c r="V97" s="1" t="str">
        <f t="shared" ref="V97" si="77">T97</f>
        <v>CARBON ARROW 8.8mm 16" ,Accueil,Outdoor plus,Armbrust,Zubehör,Ek Archery,Ek Archery</v>
      </c>
      <c r="W97" s="1">
        <v>1</v>
      </c>
      <c r="X97" s="1">
        <v>1</v>
      </c>
      <c r="Y97" s="1" t="str">
        <f t="shared" si="38"/>
        <v>http://usfh.ch/img/Armbrust_Zubehör/VD-105B.jpg</v>
      </c>
      <c r="Z97" s="1" t="str">
        <f t="shared" ref="Z97" si="78">G97</f>
        <v>VD-105B</v>
      </c>
      <c r="AA97" s="8">
        <f t="shared" ref="AA97" si="79">F97*L97</f>
        <v>540</v>
      </c>
      <c r="AB97" s="8">
        <f t="shared" ref="AB97" si="80">F97*N97</f>
        <v>132</v>
      </c>
      <c r="AC97" s="1">
        <v>0.03</v>
      </c>
    </row>
    <row r="98" spans="1:29" ht="15" customHeight="1" x14ac:dyDescent="0.25">
      <c r="A98" s="1">
        <v>97</v>
      </c>
      <c r="B98" s="1"/>
      <c r="C98" s="1"/>
      <c r="D98" s="1"/>
      <c r="E98" s="1"/>
      <c r="F98" s="1">
        <v>1</v>
      </c>
      <c r="G98" s="2" t="s">
        <v>311</v>
      </c>
      <c r="H98" s="1">
        <v>1</v>
      </c>
      <c r="I98" s="1" t="s">
        <v>312</v>
      </c>
      <c r="J98" s="1" t="s">
        <v>36</v>
      </c>
      <c r="K98" s="1"/>
      <c r="L98" s="9">
        <v>69</v>
      </c>
      <c r="M98" s="1">
        <v>53</v>
      </c>
      <c r="N98" s="9">
        <v>15.71</v>
      </c>
      <c r="O98" s="1" t="str">
        <f t="shared" ref="O98" si="81">G98</f>
        <v>B10068</v>
      </c>
      <c r="P98" s="10" t="s">
        <v>27</v>
      </c>
      <c r="Q98" s="10" t="s">
        <v>27</v>
      </c>
      <c r="R98" s="6"/>
      <c r="S98" s="7" t="s">
        <v>312</v>
      </c>
      <c r="T98" s="1" t="str">
        <f t="shared" si="32"/>
        <v>Revo7 Polyester Armbrusttasche,Accueil,Outdoor plus,Armbrust,Zubehör,Ek Archery,Ek Archery</v>
      </c>
      <c r="U98" s="1" t="str">
        <f t="shared" ref="U98" si="82">I98</f>
        <v>Revo7 Polyester Armbrusttasche</v>
      </c>
      <c r="V98" s="1" t="str">
        <f t="shared" ref="V98" si="83">T98</f>
        <v>Revo7 Polyester Armbrusttasche,Accueil,Outdoor plus,Armbrust,Zubehör,Ek Archery,Ek Archery</v>
      </c>
      <c r="W98" s="1">
        <v>1</v>
      </c>
      <c r="X98" s="1">
        <v>1</v>
      </c>
      <c r="Y98" s="1" t="str">
        <f t="shared" si="38"/>
        <v>http://usfh.ch/img/Armbrust_Zubehör/B10068.jpg</v>
      </c>
      <c r="Z98" s="1" t="str">
        <f t="shared" ref="Z98" si="84">G98</f>
        <v>B10068</v>
      </c>
      <c r="AA98" s="8">
        <f t="shared" ref="AA98" si="85">F98*L98</f>
        <v>69</v>
      </c>
      <c r="AB98" s="8">
        <f t="shared" ref="AB98" si="86">F98*N98</f>
        <v>15.71</v>
      </c>
      <c r="AC98" s="1">
        <v>0.5</v>
      </c>
    </row>
    <row r="99" spans="1:29" ht="15" customHeight="1" x14ac:dyDescent="0.25">
      <c r="A99" s="1">
        <v>98</v>
      </c>
      <c r="B99" s="1"/>
      <c r="C99" s="1"/>
      <c r="D99" s="1"/>
      <c r="E99" s="1"/>
      <c r="F99" s="1">
        <v>0</v>
      </c>
      <c r="G99" s="2" t="s">
        <v>315</v>
      </c>
      <c r="H99" s="1">
        <v>1</v>
      </c>
      <c r="I99" s="1" t="s">
        <v>314</v>
      </c>
      <c r="J99" s="1" t="s">
        <v>36</v>
      </c>
      <c r="K99" s="1"/>
      <c r="L99" s="9">
        <v>55</v>
      </c>
      <c r="M99" s="1">
        <v>53</v>
      </c>
      <c r="N99" s="9">
        <v>22.04</v>
      </c>
      <c r="O99" s="1" t="str">
        <f t="shared" ref="O99" si="87">G99</f>
        <v>B10070</v>
      </c>
      <c r="P99" s="10" t="s">
        <v>27</v>
      </c>
      <c r="Q99" s="10" t="s">
        <v>27</v>
      </c>
      <c r="R99" s="6"/>
      <c r="S99" s="7" t="s">
        <v>316</v>
      </c>
      <c r="T99" s="1" t="str">
        <f t="shared" si="32"/>
        <v>Revo7 Magazin,Accueil,Outdoor plus,Armbrust,Zubehör,Ek Archery,Ek Archery</v>
      </c>
      <c r="U99" s="1" t="str">
        <f t="shared" ref="U99" si="88">I99</f>
        <v>Revo7 Magazin</v>
      </c>
      <c r="V99" s="1" t="str">
        <f t="shared" ref="V99" si="89">T99</f>
        <v>Revo7 Magazin,Accueil,Outdoor plus,Armbrust,Zubehör,Ek Archery,Ek Archery</v>
      </c>
      <c r="W99" s="1">
        <v>1</v>
      </c>
      <c r="X99" s="1">
        <v>1</v>
      </c>
      <c r="Y99" s="1" t="str">
        <f t="shared" si="38"/>
        <v>http://usfh.ch/img/Armbrust_Zubehör/B10070.jpg</v>
      </c>
      <c r="Z99" s="1" t="str">
        <f t="shared" ref="Z99" si="90">G99</f>
        <v>B10070</v>
      </c>
      <c r="AA99" s="8">
        <f t="shared" ref="AA99" si="91">F99*L99</f>
        <v>0</v>
      </c>
      <c r="AB99" s="8">
        <f t="shared" ref="AB99" si="92">F99*N99</f>
        <v>0</v>
      </c>
      <c r="AC99" s="1">
        <v>0.3</v>
      </c>
    </row>
    <row r="100" spans="1:29" ht="15" customHeight="1" x14ac:dyDescent="0.2">
      <c r="A100" s="1">
        <v>99</v>
      </c>
      <c r="B100" s="1"/>
      <c r="C100" s="1"/>
      <c r="D100" s="1"/>
      <c r="E100" s="1"/>
      <c r="F100" s="1">
        <v>1</v>
      </c>
      <c r="G100" s="2" t="s">
        <v>317</v>
      </c>
      <c r="H100" s="1">
        <v>1</v>
      </c>
      <c r="I100" s="1" t="s">
        <v>318</v>
      </c>
      <c r="J100" s="1" t="s">
        <v>36</v>
      </c>
      <c r="K100" s="1"/>
      <c r="L100" s="9">
        <v>198</v>
      </c>
      <c r="M100" s="1">
        <v>53</v>
      </c>
      <c r="N100" s="9">
        <v>87.27</v>
      </c>
      <c r="O100" s="1" t="str">
        <f t="shared" ref="O100" si="93">G100</f>
        <v>A056896</v>
      </c>
      <c r="P100" s="1" t="s">
        <v>28</v>
      </c>
      <c r="Q100" s="1" t="s">
        <v>71</v>
      </c>
      <c r="R100" s="6"/>
      <c r="S100" s="7"/>
      <c r="T100" s="1" t="str">
        <f t="shared" si="32"/>
        <v>Schussnetz 3m x 3m,Accueil,Outdoor plus,Armbrust,Zubehör,SSA,Avalon</v>
      </c>
      <c r="U100" s="1" t="str">
        <f t="shared" ref="U100" si="94">I100</f>
        <v>Schussnetz 3m x 3m</v>
      </c>
      <c r="V100" s="1" t="str">
        <f t="shared" ref="V100" si="95">T100</f>
        <v>Schussnetz 3m x 3m,Accueil,Outdoor plus,Armbrust,Zubehör,SSA,Avalon</v>
      </c>
      <c r="W100" s="1">
        <v>1</v>
      </c>
      <c r="X100" s="1">
        <v>1</v>
      </c>
      <c r="Y100" s="1" t="str">
        <f t="shared" si="38"/>
        <v>http://usfh.ch/img/Armbrust_Zubehör/A056896.jpg</v>
      </c>
      <c r="Z100" s="1" t="str">
        <f t="shared" ref="Z100" si="96">G100</f>
        <v>A056896</v>
      </c>
      <c r="AA100" s="8">
        <f t="shared" ref="AA100" si="97">F100*L100</f>
        <v>198</v>
      </c>
      <c r="AB100" s="8">
        <f t="shared" ref="AB100" si="98">F100*N100</f>
        <v>87.27</v>
      </c>
      <c r="AC100" s="1">
        <v>10</v>
      </c>
    </row>
    <row r="101" spans="1:29" ht="15" customHeight="1" x14ac:dyDescent="0.25">
      <c r="A101" s="1">
        <v>100</v>
      </c>
      <c r="B101" s="1"/>
      <c r="C101" s="1"/>
      <c r="D101" s="1"/>
      <c r="E101" s="1"/>
      <c r="F101" s="1">
        <v>1</v>
      </c>
      <c r="G101" s="2" t="s">
        <v>319</v>
      </c>
      <c r="H101" s="1">
        <v>1</v>
      </c>
      <c r="I101" s="1" t="s">
        <v>320</v>
      </c>
      <c r="J101" s="1" t="s">
        <v>36</v>
      </c>
      <c r="K101" s="1"/>
      <c r="L101" s="9">
        <v>135</v>
      </c>
      <c r="M101" s="1">
        <v>53</v>
      </c>
      <c r="N101" s="9">
        <v>39.42</v>
      </c>
      <c r="O101" s="1" t="str">
        <f t="shared" ref="O101:O105" si="99">G101</f>
        <v>B10041A</v>
      </c>
      <c r="P101" s="10" t="s">
        <v>27</v>
      </c>
      <c r="Q101" s="10" t="s">
        <v>27</v>
      </c>
      <c r="R101" s="6"/>
      <c r="S101" s="7" t="s">
        <v>321</v>
      </c>
      <c r="T101" s="1" t="str">
        <f t="shared" si="32"/>
        <v>EK Archery CCD Spannkurbel für Accellerator 370, Blade und Jag 2,Accueil,Outdoor plus,Armbrust,Zubehör,Ek Archery,Ek Archery</v>
      </c>
      <c r="U101" s="1" t="str">
        <f t="shared" ref="U101:U105" si="100">I101</f>
        <v>EK Archery CCD Spannkurbel für Accellerator 370, Blade und Jag 2</v>
      </c>
      <c r="V101" s="1" t="str">
        <f t="shared" ref="V101:V105" si="101">T101</f>
        <v>EK Archery CCD Spannkurbel für Accellerator 370, Blade und Jag 2,Accueil,Outdoor plus,Armbrust,Zubehör,Ek Archery,Ek Archery</v>
      </c>
      <c r="W101" s="1">
        <v>1</v>
      </c>
      <c r="X101" s="1">
        <v>1</v>
      </c>
      <c r="Y101" s="1" t="str">
        <f t="shared" si="38"/>
        <v>http://usfh.ch/img/Armbrust_Zubehör/B10041A.jpg</v>
      </c>
      <c r="Z101" s="1" t="str">
        <f t="shared" ref="Z101:Z105" si="102">G101</f>
        <v>B10041A</v>
      </c>
      <c r="AA101" s="8">
        <f t="shared" ref="AA101:AA105" si="103">F101*L101</f>
        <v>135</v>
      </c>
      <c r="AB101" s="8">
        <f t="shared" ref="AB101:AB105" si="104">F101*N101</f>
        <v>39.42</v>
      </c>
      <c r="AC101" s="1">
        <v>0.5</v>
      </c>
    </row>
    <row r="102" spans="1:29" ht="15" customHeight="1" x14ac:dyDescent="0.25">
      <c r="A102" s="1">
        <v>101</v>
      </c>
      <c r="B102" s="1"/>
      <c r="C102" s="1"/>
      <c r="D102" s="1"/>
      <c r="E102" s="1"/>
      <c r="F102" s="1">
        <v>1</v>
      </c>
      <c r="G102" s="2" t="s">
        <v>322</v>
      </c>
      <c r="H102" s="1">
        <v>1</v>
      </c>
      <c r="I102" s="1" t="s">
        <v>323</v>
      </c>
      <c r="J102" s="1" t="s">
        <v>36</v>
      </c>
      <c r="K102" s="1"/>
      <c r="L102" s="9">
        <v>135</v>
      </c>
      <c r="M102" s="1">
        <v>53</v>
      </c>
      <c r="N102" s="9">
        <v>45.11</v>
      </c>
      <c r="O102" s="1" t="str">
        <f t="shared" si="99"/>
        <v>B10046</v>
      </c>
      <c r="P102" s="10" t="s">
        <v>27</v>
      </c>
      <c r="Q102" s="10" t="s">
        <v>27</v>
      </c>
      <c r="R102" s="6"/>
      <c r="S102" s="7" t="s">
        <v>324</v>
      </c>
      <c r="T102" s="1" t="str">
        <f t="shared" si="32"/>
        <v>EK Archery CCD Spannkurbel für Accellerator 390/410 und HEX-400,Accueil,Outdoor plus,Armbrust,Zubehör,Ek Archery,Ek Archery</v>
      </c>
      <c r="U102" s="1" t="str">
        <f t="shared" si="100"/>
        <v>EK Archery CCD Spannkurbel für Accellerator 390/410 und HEX-400</v>
      </c>
      <c r="V102" s="1" t="str">
        <f t="shared" si="101"/>
        <v>EK Archery CCD Spannkurbel für Accellerator 390/410 und HEX-400,Accueil,Outdoor plus,Armbrust,Zubehör,Ek Archery,Ek Archery</v>
      </c>
      <c r="W102" s="1">
        <v>1</v>
      </c>
      <c r="X102" s="1">
        <v>1</v>
      </c>
      <c r="Y102" s="1" t="str">
        <f t="shared" si="38"/>
        <v>http://usfh.ch/img/Armbrust_Zubehör/B10046.jpg</v>
      </c>
      <c r="Z102" s="1" t="str">
        <f t="shared" si="102"/>
        <v>B10046</v>
      </c>
      <c r="AA102" s="8">
        <f t="shared" si="103"/>
        <v>135</v>
      </c>
      <c r="AB102" s="8">
        <f t="shared" si="104"/>
        <v>45.11</v>
      </c>
      <c r="AC102" s="1">
        <v>0.5</v>
      </c>
    </row>
    <row r="103" spans="1:29" ht="15" customHeight="1" x14ac:dyDescent="0.25">
      <c r="A103" s="1">
        <v>102</v>
      </c>
      <c r="B103" s="1"/>
      <c r="C103" s="1"/>
      <c r="D103" s="1"/>
      <c r="E103" s="1"/>
      <c r="F103" s="1">
        <v>1</v>
      </c>
      <c r="G103" s="2" t="s">
        <v>325</v>
      </c>
      <c r="H103" s="1">
        <v>1</v>
      </c>
      <c r="I103" s="1" t="s">
        <v>326</v>
      </c>
      <c r="J103" s="1" t="s">
        <v>36</v>
      </c>
      <c r="K103" s="1"/>
      <c r="L103" s="9">
        <v>135</v>
      </c>
      <c r="M103" s="1">
        <v>53</v>
      </c>
      <c r="N103" s="9">
        <v>45.11</v>
      </c>
      <c r="O103" s="1" t="str">
        <f t="shared" si="99"/>
        <v>B10053</v>
      </c>
      <c r="P103" s="10" t="s">
        <v>27</v>
      </c>
      <c r="Q103" s="10" t="s">
        <v>27</v>
      </c>
      <c r="R103" s="6"/>
      <c r="S103" s="7" t="s">
        <v>327</v>
      </c>
      <c r="T103" s="1" t="str">
        <f t="shared" si="32"/>
        <v>EK Archery CCD Spannkurbel für Guilltone X / M,Accueil,Outdoor plus,Armbrust,Zubehör,Ek Archery,Ek Archery</v>
      </c>
      <c r="U103" s="1" t="str">
        <f t="shared" si="100"/>
        <v>EK Archery CCD Spannkurbel für Guilltone X / M</v>
      </c>
      <c r="V103" s="1" t="str">
        <f t="shared" si="101"/>
        <v>EK Archery CCD Spannkurbel für Guilltone X / M,Accueil,Outdoor plus,Armbrust,Zubehör,Ek Archery,Ek Archery</v>
      </c>
      <c r="W103" s="1">
        <v>1</v>
      </c>
      <c r="X103" s="1">
        <v>1</v>
      </c>
      <c r="Y103" s="1" t="str">
        <f t="shared" si="38"/>
        <v>http://usfh.ch/img/Armbrust_Zubehör/B10053.jpg</v>
      </c>
      <c r="Z103" s="1" t="str">
        <f t="shared" si="102"/>
        <v>B10053</v>
      </c>
      <c r="AA103" s="8">
        <f t="shared" si="103"/>
        <v>135</v>
      </c>
      <c r="AB103" s="8">
        <f t="shared" si="104"/>
        <v>45.11</v>
      </c>
      <c r="AC103" s="1">
        <v>0.5</v>
      </c>
    </row>
    <row r="104" spans="1:29" ht="15" customHeight="1" x14ac:dyDescent="0.25">
      <c r="A104" s="1">
        <v>103</v>
      </c>
      <c r="B104" s="1"/>
      <c r="C104" s="1"/>
      <c r="D104" s="1"/>
      <c r="E104" s="1"/>
      <c r="F104" s="1">
        <v>3</v>
      </c>
      <c r="G104" s="2" t="s">
        <v>328</v>
      </c>
      <c r="H104" s="1">
        <v>1</v>
      </c>
      <c r="I104" s="1" t="s">
        <v>329</v>
      </c>
      <c r="J104" s="1" t="s">
        <v>36</v>
      </c>
      <c r="K104" s="1"/>
      <c r="L104" s="9">
        <v>99</v>
      </c>
      <c r="M104" s="1">
        <v>53</v>
      </c>
      <c r="N104" s="9">
        <v>40.549999999999997</v>
      </c>
      <c r="O104" s="1" t="str">
        <f t="shared" si="99"/>
        <v>CR-1221B-120</v>
      </c>
      <c r="P104" s="10" t="s">
        <v>27</v>
      </c>
      <c r="Q104" s="10" t="s">
        <v>27</v>
      </c>
      <c r="R104" s="6"/>
      <c r="S104" s="7" t="s">
        <v>330</v>
      </c>
      <c r="T104" s="1" t="str">
        <f t="shared" si="32"/>
        <v>Original 120lbs Ersatzwurfarm für die Armbrust REVO7,Accueil,Outdoor plus,Armbrust,Zubehör,Ek Archery,Ek Archery</v>
      </c>
      <c r="U104" s="1" t="str">
        <f t="shared" si="100"/>
        <v>Original 120lbs Ersatzwurfarm für die Armbrust REVO7</v>
      </c>
      <c r="V104" s="1" t="str">
        <f t="shared" si="101"/>
        <v>Original 120lbs Ersatzwurfarm für die Armbrust REVO7,Accueil,Outdoor plus,Armbrust,Zubehör,Ek Archery,Ek Archery</v>
      </c>
      <c r="W104" s="1">
        <v>1</v>
      </c>
      <c r="X104" s="1">
        <v>1</v>
      </c>
      <c r="Y104" s="1" t="str">
        <f t="shared" si="38"/>
        <v>http://usfh.ch/img/Armbrust_Zubehör/CR-1221B-120.jpg</v>
      </c>
      <c r="Z104" s="1" t="str">
        <f t="shared" si="102"/>
        <v>CR-1221B-120</v>
      </c>
      <c r="AA104" s="8">
        <f t="shared" si="103"/>
        <v>297</v>
      </c>
      <c r="AB104" s="8">
        <f t="shared" si="104"/>
        <v>121.64999999999999</v>
      </c>
      <c r="AC104" s="1">
        <v>0.5</v>
      </c>
    </row>
    <row r="105" spans="1:29" ht="15" customHeight="1" x14ac:dyDescent="0.25">
      <c r="A105" s="1">
        <v>104</v>
      </c>
      <c r="B105" s="1"/>
      <c r="C105" s="1"/>
      <c r="D105" s="1"/>
      <c r="E105" s="1"/>
      <c r="F105" s="1">
        <v>0</v>
      </c>
      <c r="G105" s="2" t="s">
        <v>331</v>
      </c>
      <c r="H105" s="1">
        <v>1</v>
      </c>
      <c r="I105" s="1" t="s">
        <v>332</v>
      </c>
      <c r="J105" s="1" t="s">
        <v>36</v>
      </c>
      <c r="K105" s="1"/>
      <c r="L105" s="9">
        <v>49</v>
      </c>
      <c r="M105" s="1">
        <v>53</v>
      </c>
      <c r="N105" s="9">
        <v>16.7</v>
      </c>
      <c r="O105" s="1" t="str">
        <f t="shared" si="99"/>
        <v>D-124B10</v>
      </c>
      <c r="P105" s="10" t="s">
        <v>27</v>
      </c>
      <c r="Q105" s="10" t="s">
        <v>27</v>
      </c>
      <c r="R105" s="6"/>
      <c r="S105" s="7" t="s">
        <v>333</v>
      </c>
      <c r="T105" s="1" t="str">
        <f t="shared" si="32"/>
        <v>Ek Archery Revo 7 original 6.5″ Carbon Bolzen heavy 10er Pack,Accueil,Outdoor plus,Armbrust,Zubehör,Ek Archery,Ek Archery</v>
      </c>
      <c r="U105" s="1" t="str">
        <f t="shared" si="100"/>
        <v>Ek Archery Revo 7 original 6.5″ Carbon Bolzen heavy 10er Pack</v>
      </c>
      <c r="V105" s="1" t="str">
        <f t="shared" si="101"/>
        <v>Ek Archery Revo 7 original 6.5″ Carbon Bolzen heavy 10er Pack,Accueil,Outdoor plus,Armbrust,Zubehör,Ek Archery,Ek Archery</v>
      </c>
      <c r="W105" s="1">
        <v>1</v>
      </c>
      <c r="X105" s="1">
        <v>1</v>
      </c>
      <c r="Y105" s="1" t="str">
        <f t="shared" si="38"/>
        <v>http://usfh.ch/img/Armbrust_Zubehör/D-124B10.jpg</v>
      </c>
      <c r="Z105" s="1" t="str">
        <f t="shared" si="102"/>
        <v>D-124B10</v>
      </c>
      <c r="AA105" s="8">
        <f t="shared" si="103"/>
        <v>0</v>
      </c>
      <c r="AB105" s="8">
        <f t="shared" si="104"/>
        <v>0</v>
      </c>
      <c r="AC105" s="1">
        <v>0.2</v>
      </c>
    </row>
    <row r="106" spans="1:29" ht="15" customHeight="1" x14ac:dyDescent="0.25">
      <c r="A106" s="1">
        <v>105</v>
      </c>
      <c r="B106" s="1"/>
      <c r="C106" s="1"/>
      <c r="D106" s="1"/>
      <c r="E106" s="1"/>
      <c r="F106" s="1">
        <v>9</v>
      </c>
      <c r="G106" s="2" t="s">
        <v>344</v>
      </c>
      <c r="H106" s="1">
        <v>2</v>
      </c>
      <c r="I106" s="1" t="s">
        <v>345</v>
      </c>
      <c r="J106" s="1" t="s">
        <v>36</v>
      </c>
      <c r="K106" s="1"/>
      <c r="L106" s="9">
        <v>58</v>
      </c>
      <c r="M106" s="1">
        <v>53</v>
      </c>
      <c r="N106" s="9">
        <v>20.13</v>
      </c>
      <c r="O106" s="1" t="str">
        <f t="shared" ref="O106" si="105">G106</f>
        <v>D-124C10</v>
      </c>
      <c r="P106" s="10" t="s">
        <v>27</v>
      </c>
      <c r="Q106" s="10" t="s">
        <v>27</v>
      </c>
      <c r="R106" s="6"/>
      <c r="S106" s="7" t="s">
        <v>333</v>
      </c>
      <c r="T106" s="1" t="str">
        <f t="shared" si="32"/>
        <v>Ek Archery Revo 7 original 6.5″ Carbon Bodkin Bolzen 10er Pack,Accueil,Outdoor plus,Armbrust,Zubehör,Ek Archery,Ek Archery</v>
      </c>
      <c r="U106" s="1" t="str">
        <f t="shared" ref="U106" si="106">I106</f>
        <v>Ek Archery Revo 7 original 6.5″ Carbon Bodkin Bolzen 10er Pack</v>
      </c>
      <c r="V106" s="1" t="str">
        <f t="shared" ref="V106" si="107">T106</f>
        <v>Ek Archery Revo 7 original 6.5″ Carbon Bodkin Bolzen 10er Pack,Accueil,Outdoor plus,Armbrust,Zubehör,Ek Archery,Ek Archery</v>
      </c>
      <c r="W106" s="1">
        <v>1</v>
      </c>
      <c r="X106" s="1">
        <v>1</v>
      </c>
      <c r="Y106" s="1" t="str">
        <f t="shared" si="38"/>
        <v>http://usfh.ch/img/Armbrust_Zubehör/D-124C10.jpg</v>
      </c>
      <c r="Z106" s="1" t="str">
        <f t="shared" ref="Z106" si="108">G106</f>
        <v>D-124C10</v>
      </c>
      <c r="AA106" s="8">
        <f t="shared" ref="AA106" si="109">F106*L106</f>
        <v>522</v>
      </c>
      <c r="AB106" s="8">
        <f t="shared" ref="AB106" si="110">F106*N106</f>
        <v>181.17</v>
      </c>
      <c r="AC106" s="1">
        <v>0.2</v>
      </c>
    </row>
    <row r="107" spans="1:29" ht="15" customHeight="1" x14ac:dyDescent="0.25">
      <c r="A107" s="1">
        <v>106</v>
      </c>
      <c r="B107" s="1"/>
      <c r="C107" s="1"/>
      <c r="D107" s="1"/>
      <c r="E107" s="1"/>
      <c r="F107" s="1">
        <v>4</v>
      </c>
      <c r="G107" s="2" t="s">
        <v>334</v>
      </c>
      <c r="H107" s="1">
        <v>1</v>
      </c>
      <c r="I107" s="1" t="s">
        <v>335</v>
      </c>
      <c r="J107" s="1" t="s">
        <v>36</v>
      </c>
      <c r="K107" s="1"/>
      <c r="L107" s="9">
        <v>9</v>
      </c>
      <c r="M107" s="1">
        <v>53</v>
      </c>
      <c r="N107" s="9">
        <v>2.4300000000000002</v>
      </c>
      <c r="O107" s="1" t="str">
        <f t="shared" ref="O107" si="111">G107</f>
        <v>A019169</v>
      </c>
      <c r="P107" s="10" t="s">
        <v>28</v>
      </c>
      <c r="Q107" s="10" t="s">
        <v>71</v>
      </c>
      <c r="R107" s="6"/>
      <c r="S107" s="7" t="s">
        <v>336</v>
      </c>
      <c r="T107" s="1" t="str">
        <f t="shared" si="32"/>
        <v>ARROW PULLERS GRASPER ORANGE,Accueil,Outdoor plus,Armbrust,Zubehör,SSA,Avalon</v>
      </c>
      <c r="U107" s="1" t="str">
        <f t="shared" ref="U107" si="112">I107</f>
        <v>ARROW PULLERS GRASPER ORANGE</v>
      </c>
      <c r="V107" s="1" t="str">
        <f t="shared" ref="V107" si="113">T107</f>
        <v>ARROW PULLERS GRASPER ORANGE,Accueil,Outdoor plus,Armbrust,Zubehör,SSA,Avalon</v>
      </c>
      <c r="W107" s="1">
        <v>1</v>
      </c>
      <c r="X107" s="1">
        <v>1</v>
      </c>
      <c r="Y107" s="1" t="str">
        <f t="shared" si="38"/>
        <v>http://usfh.ch/img/Armbrust_Zubehör/A019169.jpg</v>
      </c>
      <c r="Z107" s="1" t="str">
        <f t="shared" ref="Z107" si="114">G107</f>
        <v>A019169</v>
      </c>
      <c r="AA107" s="8">
        <f t="shared" ref="AA107" si="115">F107*L107</f>
        <v>36</v>
      </c>
      <c r="AB107" s="8">
        <f t="shared" ref="AB107" si="116">F107*N107</f>
        <v>9.7200000000000006</v>
      </c>
      <c r="AC107" s="1">
        <v>0.2</v>
      </c>
    </row>
    <row r="108" spans="1:29" ht="15" customHeight="1" x14ac:dyDescent="0.25">
      <c r="A108" s="1">
        <v>107</v>
      </c>
      <c r="B108" s="1"/>
      <c r="C108" s="1"/>
      <c r="D108" s="1"/>
      <c r="E108" s="1"/>
      <c r="F108" s="1">
        <v>1</v>
      </c>
      <c r="G108" s="2" t="s">
        <v>337</v>
      </c>
      <c r="H108" s="1">
        <v>1</v>
      </c>
      <c r="I108" s="1" t="s">
        <v>338</v>
      </c>
      <c r="J108" s="1" t="s">
        <v>36</v>
      </c>
      <c r="K108" s="1"/>
      <c r="L108" s="9">
        <v>89</v>
      </c>
      <c r="M108" s="1">
        <v>53</v>
      </c>
      <c r="N108" s="9">
        <v>33.5</v>
      </c>
      <c r="O108" s="1" t="str">
        <f t="shared" ref="O108" si="117">G108</f>
        <v>A017186</v>
      </c>
      <c r="P108" s="10" t="s">
        <v>28</v>
      </c>
      <c r="Q108" s="10" t="s">
        <v>30</v>
      </c>
      <c r="R108" s="6"/>
      <c r="S108" s="7" t="s">
        <v>339</v>
      </c>
      <c r="T108" s="1" t="str">
        <f t="shared" si="32"/>
        <v>EXCALIBUR CROSSBOW BOLTS CARBON QUILL 16.5" FOR MICRO 6/PACK,Accueil,Outdoor plus,Armbrust,Zubehör,SSA,Excalibur</v>
      </c>
      <c r="U108" s="1" t="str">
        <f t="shared" ref="U108" si="118">I108</f>
        <v>EXCALIBUR CROSSBOW BOLTS CARBON QUILL 16.5" FOR MICRO 6/PACK</v>
      </c>
      <c r="V108" s="1" t="str">
        <f t="shared" ref="V108" si="119">T108</f>
        <v>EXCALIBUR CROSSBOW BOLTS CARBON QUILL 16.5" FOR MICRO 6/PACK,Accueil,Outdoor plus,Armbrust,Zubehör,SSA,Excalibur</v>
      </c>
      <c r="W108" s="1">
        <v>1</v>
      </c>
      <c r="X108" s="1">
        <v>1</v>
      </c>
      <c r="Y108" s="1" t="str">
        <f t="shared" si="38"/>
        <v>http://usfh.ch/img/Armbrust_Zubehör/A017186.jpg</v>
      </c>
      <c r="Z108" s="1" t="str">
        <f t="shared" ref="Z108" si="120">G108</f>
        <v>A017186</v>
      </c>
      <c r="AA108" s="8">
        <f t="shared" ref="AA108" si="121">F108*L108</f>
        <v>89</v>
      </c>
      <c r="AB108" s="8">
        <f t="shared" ref="AB108" si="122">F108*N108</f>
        <v>33.5</v>
      </c>
      <c r="AC108" s="1">
        <v>0.2</v>
      </c>
    </row>
    <row r="109" spans="1:29" ht="15" customHeight="1" x14ac:dyDescent="0.25">
      <c r="A109" s="1">
        <v>108</v>
      </c>
      <c r="B109" s="1"/>
      <c r="C109" s="1"/>
      <c r="D109" s="1"/>
      <c r="E109" s="1"/>
      <c r="F109" s="1">
        <v>20</v>
      </c>
      <c r="G109" s="2" t="s">
        <v>350</v>
      </c>
      <c r="H109" s="1">
        <v>1</v>
      </c>
      <c r="I109" s="1" t="s">
        <v>340</v>
      </c>
      <c r="J109" s="1" t="s">
        <v>36</v>
      </c>
      <c r="K109" s="1"/>
      <c r="L109" s="9">
        <v>15</v>
      </c>
      <c r="M109" s="1">
        <v>53</v>
      </c>
      <c r="N109" s="9">
        <v>4</v>
      </c>
      <c r="O109" s="1" t="str">
        <f t="shared" ref="O109" si="123">G109</f>
        <v>usfh01</v>
      </c>
      <c r="P109" s="10" t="s">
        <v>295</v>
      </c>
      <c r="Q109" s="10" t="s">
        <v>295</v>
      </c>
      <c r="R109" s="6"/>
      <c r="S109" s="7"/>
      <c r="T109" s="1" t="str">
        <f t="shared" si="32"/>
        <v>Handschuh S/M/L/XL,Accueil,Outdoor plus,Armbrust,Zubehör,Ningbo Musen,Ningbo Musen</v>
      </c>
      <c r="U109" s="1" t="str">
        <f t="shared" ref="U109" si="124">I109</f>
        <v>Handschuh S/M/L/XL</v>
      </c>
      <c r="V109" s="1" t="str">
        <f t="shared" ref="V109" si="125">T109</f>
        <v>Handschuh S/M/L/XL,Accueil,Outdoor plus,Armbrust,Zubehör,Ningbo Musen,Ningbo Musen</v>
      </c>
      <c r="W109" s="1">
        <v>1</v>
      </c>
      <c r="X109" s="1">
        <v>1</v>
      </c>
      <c r="Y109" s="1" t="str">
        <f t="shared" si="38"/>
        <v>http://usfh.ch/img/Armbrust_Zubehör/usfh01.jpg</v>
      </c>
      <c r="Z109" s="1" t="str">
        <f t="shared" ref="Z109" si="126">G109</f>
        <v>usfh01</v>
      </c>
      <c r="AA109" s="8">
        <f t="shared" ref="AA109" si="127">F109*L109</f>
        <v>300</v>
      </c>
      <c r="AB109" s="8">
        <f t="shared" ref="AB109" si="128">F109*N109</f>
        <v>80</v>
      </c>
      <c r="AC109" s="1">
        <v>0.2</v>
      </c>
    </row>
    <row r="110" spans="1:29" ht="15" customHeight="1" x14ac:dyDescent="0.25">
      <c r="A110" s="1">
        <v>109</v>
      </c>
      <c r="B110" s="1"/>
      <c r="C110" s="1"/>
      <c r="D110" s="1"/>
      <c r="E110" s="1"/>
      <c r="F110" s="1">
        <v>47</v>
      </c>
      <c r="G110" s="2" t="s">
        <v>351</v>
      </c>
      <c r="H110" s="1">
        <v>1</v>
      </c>
      <c r="I110" s="1" t="s">
        <v>342</v>
      </c>
      <c r="J110" s="1" t="s">
        <v>36</v>
      </c>
      <c r="K110" s="1"/>
      <c r="L110" s="9">
        <v>7</v>
      </c>
      <c r="M110" s="1">
        <v>53</v>
      </c>
      <c r="N110" s="9">
        <v>2.35</v>
      </c>
      <c r="O110" s="1" t="str">
        <f t="shared" ref="O110:O111" si="129">G110</f>
        <v>usfh02</v>
      </c>
      <c r="P110" s="10" t="s">
        <v>295</v>
      </c>
      <c r="Q110" s="10" t="s">
        <v>295</v>
      </c>
      <c r="R110" s="6"/>
      <c r="S110" s="7"/>
      <c r="T110" s="1" t="str">
        <f t="shared" si="32"/>
        <v>Phönix 4.2mm SP1100 rot,Accueil,Outdoor plus,Armbrust,Zubehör,Ningbo Musen,Ningbo Musen</v>
      </c>
      <c r="U110" s="1" t="str">
        <f t="shared" ref="U110:U111" si="130">I110</f>
        <v>Phönix 4.2mm SP1100 rot</v>
      </c>
      <c r="V110" s="1" t="str">
        <f t="shared" ref="V110:V111" si="131">T110</f>
        <v>Phönix 4.2mm SP1100 rot,Accueil,Outdoor plus,Armbrust,Zubehör,Ningbo Musen,Ningbo Musen</v>
      </c>
      <c r="W110" s="1">
        <v>1</v>
      </c>
      <c r="X110" s="1">
        <v>1</v>
      </c>
      <c r="Y110" s="1" t="str">
        <f t="shared" si="38"/>
        <v>http://usfh.ch/img/Armbrust_Zubehör/usfh02.jpg</v>
      </c>
      <c r="Z110" s="1" t="str">
        <f t="shared" ref="Z110:Z111" si="132">G110</f>
        <v>usfh02</v>
      </c>
      <c r="AA110" s="8">
        <f t="shared" ref="AA110:AA111" si="133">F110*L110</f>
        <v>329</v>
      </c>
      <c r="AB110" s="8">
        <f t="shared" ref="AB110:AB111" si="134">F110*N110</f>
        <v>110.45</v>
      </c>
      <c r="AC110" s="1">
        <v>1.7000000000000001E-2</v>
      </c>
    </row>
    <row r="111" spans="1:29" ht="15" customHeight="1" x14ac:dyDescent="0.25">
      <c r="A111" s="1">
        <v>110</v>
      </c>
      <c r="B111" s="1"/>
      <c r="C111" s="1"/>
      <c r="D111" s="1"/>
      <c r="E111" s="1"/>
      <c r="F111" s="1">
        <v>50</v>
      </c>
      <c r="G111" s="2" t="s">
        <v>352</v>
      </c>
      <c r="H111" s="1">
        <v>1</v>
      </c>
      <c r="I111" s="1" t="s">
        <v>343</v>
      </c>
      <c r="J111" s="1" t="s">
        <v>36</v>
      </c>
      <c r="K111" s="1"/>
      <c r="L111" s="9">
        <v>7</v>
      </c>
      <c r="M111" s="1">
        <v>53</v>
      </c>
      <c r="N111" s="9">
        <v>2.35</v>
      </c>
      <c r="O111" s="1" t="str">
        <f t="shared" si="129"/>
        <v>usfh03</v>
      </c>
      <c r="P111" s="10" t="s">
        <v>295</v>
      </c>
      <c r="Q111" s="10" t="s">
        <v>295</v>
      </c>
      <c r="R111" s="6"/>
      <c r="S111" s="7"/>
      <c r="T111" s="1" t="str">
        <f t="shared" si="32"/>
        <v>Phönix 4.2mm SP800 blau,Accueil,Outdoor plus,Armbrust,Zubehör,Ningbo Musen,Ningbo Musen</v>
      </c>
      <c r="U111" s="1" t="str">
        <f t="shared" si="130"/>
        <v>Phönix 4.2mm SP800 blau</v>
      </c>
      <c r="V111" s="1" t="str">
        <f t="shared" si="131"/>
        <v>Phönix 4.2mm SP800 blau,Accueil,Outdoor plus,Armbrust,Zubehör,Ningbo Musen,Ningbo Musen</v>
      </c>
      <c r="W111" s="1">
        <v>1</v>
      </c>
      <c r="X111" s="1">
        <v>1</v>
      </c>
      <c r="Y111" s="1" t="str">
        <f t="shared" si="38"/>
        <v>http://usfh.ch/img/Armbrust_Zubehör/usfh03.jpg</v>
      </c>
      <c r="Z111" s="1" t="str">
        <f t="shared" si="132"/>
        <v>usfh03</v>
      </c>
      <c r="AA111" s="8">
        <f t="shared" si="133"/>
        <v>350</v>
      </c>
      <c r="AB111" s="8">
        <f t="shared" si="134"/>
        <v>117.5</v>
      </c>
      <c r="AC111" s="1">
        <v>1.7000000000000001E-2</v>
      </c>
    </row>
    <row r="120" spans="9:10" x14ac:dyDescent="0.2">
      <c r="I120" s="15" t="s">
        <v>24</v>
      </c>
      <c r="J120" s="15" t="s">
        <v>25</v>
      </c>
    </row>
    <row r="121" spans="9:10" ht="13.5" thickBot="1" x14ac:dyDescent="0.25">
      <c r="I121" s="16">
        <f>SUM(AA2:AA111)</f>
        <v>21434.5</v>
      </c>
      <c r="J121" s="16">
        <f>SUM(AB2:AB94)</f>
        <v>6163.6399999999985</v>
      </c>
    </row>
    <row r="122" spans="9:10" ht="13.5" thickTop="1" x14ac:dyDescent="0.2"/>
  </sheetData>
  <phoneticPr fontId="2" type="noConversion"/>
  <pageMargins left="0.7" right="0.7" top="0.78740157499999996" bottom="0.78740157499999996"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Armbrust_Zubehör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Urs Schwendener</cp:lastModifiedBy>
  <cp:lastPrinted>2025-10-08T07:53:50Z</cp:lastPrinted>
  <dcterms:created xsi:type="dcterms:W3CDTF">2023-06-14T13:57:13Z</dcterms:created>
  <dcterms:modified xsi:type="dcterms:W3CDTF">2026-04-25T11:06:27Z</dcterms:modified>
</cp:coreProperties>
</file>