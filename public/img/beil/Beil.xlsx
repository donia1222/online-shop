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K:\Privat\US_FH\web_shop\Neuer shop\Beil\"/>
    </mc:Choice>
  </mc:AlternateContent>
  <xr:revisionPtr revIDLastSave="0" documentId="13_ncr:1_{AB988113-ECFD-4E67-81DF-1EC83F3FC4A7}" xr6:coauthVersionLast="47" xr6:coauthVersionMax="47" xr10:uidLastSave="{00000000-0000-0000-0000-000000000000}"/>
  <bookViews>
    <workbookView xWindow="-120" yWindow="-120" windowWidth="29040" windowHeight="15720" tabRatio="884" xr2:uid="{5C413A35-37CD-4FC7-9B0F-E46798A10454}"/>
  </bookViews>
  <sheets>
    <sheet name="Beil"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5" l="1"/>
  <c r="Y4" i="5"/>
  <c r="Y5" i="5"/>
  <c r="Y6" i="5"/>
  <c r="Y7" i="5"/>
  <c r="Y8" i="5"/>
  <c r="Y9" i="5"/>
  <c r="Y10" i="5"/>
  <c r="Y11" i="5"/>
  <c r="Y12" i="5"/>
  <c r="Y13" i="5"/>
  <c r="Y14" i="5"/>
  <c r="Y15" i="5"/>
  <c r="Y16" i="5"/>
  <c r="Y17" i="5"/>
  <c r="Y18" i="5"/>
  <c r="Y2" i="5"/>
  <c r="O18" i="5" l="1"/>
  <c r="T18" i="5"/>
  <c r="V18" i="5" s="1"/>
  <c r="U18" i="5"/>
  <c r="Z18" i="5"/>
  <c r="AA18" i="5"/>
  <c r="AB18" i="5"/>
  <c r="AB17" i="5" l="1"/>
  <c r="AA17" i="5"/>
  <c r="Z17" i="5"/>
  <c r="U17" i="5"/>
  <c r="T17" i="5"/>
  <c r="V17" i="5" s="1"/>
  <c r="O17" i="5"/>
  <c r="AB16" i="5"/>
  <c r="AA16" i="5"/>
  <c r="Z16" i="5"/>
  <c r="U16" i="5"/>
  <c r="T16" i="5"/>
  <c r="V16" i="5" s="1"/>
  <c r="O16" i="5"/>
  <c r="AB15" i="5"/>
  <c r="AA15" i="5"/>
  <c r="Z15" i="5"/>
  <c r="U15" i="5"/>
  <c r="T15" i="5"/>
  <c r="V15" i="5" s="1"/>
  <c r="O15" i="5"/>
  <c r="AB14" i="5"/>
  <c r="AA14" i="5"/>
  <c r="Z14" i="5"/>
  <c r="U14" i="5"/>
  <c r="T14" i="5"/>
  <c r="V14" i="5" s="1"/>
  <c r="O14" i="5"/>
  <c r="AB13" i="5"/>
  <c r="AA13" i="5"/>
  <c r="Z13" i="5"/>
  <c r="U13" i="5"/>
  <c r="T13" i="5"/>
  <c r="V13" i="5" s="1"/>
  <c r="O13" i="5"/>
  <c r="AB12" i="5"/>
  <c r="AA12" i="5"/>
  <c r="Z12" i="5"/>
  <c r="U12" i="5"/>
  <c r="T12" i="5"/>
  <c r="V12" i="5" s="1"/>
  <c r="O12" i="5"/>
  <c r="AB11" i="5"/>
  <c r="AA11" i="5"/>
  <c r="Z11" i="5"/>
  <c r="U11" i="5"/>
  <c r="T11" i="5"/>
  <c r="V11" i="5" s="1"/>
  <c r="O11" i="5"/>
  <c r="AB10" i="5"/>
  <c r="AA10" i="5"/>
  <c r="Z10" i="5"/>
  <c r="U10" i="5"/>
  <c r="T10" i="5"/>
  <c r="V10" i="5" s="1"/>
  <c r="O10" i="5"/>
  <c r="AB9" i="5"/>
  <c r="AA9" i="5"/>
  <c r="Z9" i="5"/>
  <c r="U9" i="5"/>
  <c r="T9" i="5"/>
  <c r="V9" i="5" s="1"/>
  <c r="O9" i="5"/>
  <c r="AB8" i="5"/>
  <c r="AA8" i="5"/>
  <c r="Z8" i="5"/>
  <c r="U8" i="5"/>
  <c r="T8" i="5"/>
  <c r="V8" i="5" s="1"/>
  <c r="O8" i="5"/>
  <c r="AB7" i="5"/>
  <c r="AA7" i="5"/>
  <c r="Z7" i="5"/>
  <c r="U7" i="5"/>
  <c r="T7" i="5"/>
  <c r="V7" i="5" s="1"/>
  <c r="O7" i="5"/>
  <c r="AB6" i="5"/>
  <c r="AA6" i="5"/>
  <c r="Z6" i="5"/>
  <c r="U6" i="5"/>
  <c r="T6" i="5"/>
  <c r="V6" i="5" s="1"/>
  <c r="O6" i="5"/>
  <c r="AB5" i="5"/>
  <c r="AA5" i="5"/>
  <c r="Z5" i="5"/>
  <c r="U5" i="5"/>
  <c r="T5" i="5"/>
  <c r="V5" i="5" s="1"/>
  <c r="O5" i="5"/>
  <c r="AB4" i="5"/>
  <c r="AA4" i="5"/>
  <c r="Z4" i="5"/>
  <c r="U4" i="5"/>
  <c r="T4" i="5"/>
  <c r="V4" i="5" s="1"/>
  <c r="O4" i="5"/>
  <c r="AB3" i="5"/>
  <c r="AA3" i="5"/>
  <c r="Z3" i="5"/>
  <c r="U3" i="5"/>
  <c r="T3" i="5"/>
  <c r="V3" i="5" s="1"/>
  <c r="O3" i="5"/>
  <c r="AB2" i="5"/>
  <c r="AA2" i="5"/>
  <c r="Z2" i="5"/>
  <c r="U2" i="5"/>
  <c r="T2" i="5"/>
  <c r="V2" i="5" s="1"/>
  <c r="O2" i="5"/>
  <c r="M25" i="5" l="1"/>
  <c r="N25" i="5"/>
</calcChain>
</file>

<file path=xl/sharedStrings.xml><?xml version="1.0" encoding="utf-8"?>
<sst xmlns="http://schemas.openxmlformats.org/spreadsheetml/2006/main" count="124" uniqueCount="90">
  <si>
    <t xml:space="preserve"> </t>
  </si>
  <si>
    <t>IG</t>
  </si>
  <si>
    <t>BS</t>
  </si>
  <si>
    <t>PÄ</t>
  </si>
  <si>
    <t>GÜ</t>
  </si>
  <si>
    <t>ID</t>
  </si>
  <si>
    <t>Aktiv (0/1)</t>
  </si>
  <si>
    <t>Name</t>
  </si>
  <si>
    <t>Kategorien (x, y, z. ..)</t>
  </si>
  <si>
    <t>Preis zzgl. MwSt.</t>
  </si>
  <si>
    <t>Preis inkl. MwSt.</t>
  </si>
  <si>
    <t>ID Steuersatz</t>
  </si>
  <si>
    <t>Einkaufspreis</t>
  </si>
  <si>
    <t>Artikel-Nr.</t>
  </si>
  <si>
    <t>Lieferant</t>
  </si>
  <si>
    <t>Hersteller</t>
  </si>
  <si>
    <t>EAN 13</t>
  </si>
  <si>
    <t>Beschreibung</t>
  </si>
  <si>
    <t>Stichwörter</t>
  </si>
  <si>
    <t>Meta-Title</t>
  </si>
  <si>
    <t>Meta-Suchworte</t>
  </si>
  <si>
    <t>Bestellbar (0/1)</t>
  </si>
  <si>
    <t>Preis anzeigen (0/1)</t>
  </si>
  <si>
    <t>URLs der Bilder</t>
  </si>
  <si>
    <t>RewriteLink</t>
  </si>
  <si>
    <t>tot. VK</t>
  </si>
  <si>
    <t>tot. EK</t>
  </si>
  <si>
    <t>Airsoft</t>
  </si>
  <si>
    <t>Walther</t>
  </si>
  <si>
    <t>Böker</t>
  </si>
  <si>
    <t>Magnum</t>
  </si>
  <si>
    <t>Haller</t>
  </si>
  <si>
    <t>United Cutlery</t>
  </si>
  <si>
    <t>Coldsteel</t>
  </si>
  <si>
    <t>Linder</t>
  </si>
  <si>
    <t>Klötzli</t>
  </si>
  <si>
    <t>SOG</t>
  </si>
  <si>
    <t>Blackfield</t>
  </si>
  <si>
    <t>Schrade</t>
  </si>
  <si>
    <t>K25</t>
  </si>
  <si>
    <t>Lagerbestand</t>
  </si>
  <si>
    <t>Tactical Tomahawk Black</t>
  </si>
  <si>
    <t>Accueil,Messer plus,Axt und Tomahawk</t>
  </si>
  <si>
    <t>Der Walther Tomahawk ist ein vielseitig verwendbares taktisches Werzeug. Er ist aus schwarz beschichtetem 420er Stainless Steel gefertigt und mit einem widerstandsfähigen Nylon-Stiel ausgerüstet, der witterungs- und temperaturbeständig ist.</t>
  </si>
  <si>
    <t>BlackField Tactical Axt 2.0</t>
  </si>
  <si>
    <t xml:space="preserve">Eine kräftige Tactical Axt ganz in schwarz. Das Axtblatt ist aus 420 rostfreiem Stahl, schwarz beschichtet, der Griff aus robustem Nylonfiber.
Mit kräftigem Nylonetui.
Gesamtlänge 380 mm
Breite Axtblatt 190 mm
Gewicht 580 g
</t>
  </si>
  <si>
    <t>CST-90PTH</t>
  </si>
  <si>
    <t>Trench Hawk, Schwarz</t>
  </si>
  <si>
    <t xml:space="preserve">Trench Hawk mit schwarzem Griff
Die scharfe Schlagkante und keilförmige Spitze von Cold Steels Trench Hawk bieten eine Vielzahl von Kampfmöglichkeiten für den modernen Krieger. 
Sein Kopf ist aus 1055er Karbonstahl gesenkgeschmiedet und differenziell gehärtet. Er wird sowohl gewaltigen Schlägen als auch hoher Beanspruchung durch intensiven Gebrauch standhalten. 
Der Stiel aus Polypropylen ist auch besonders schlagfest. Auch eine übertriebene Nutzung, die sogar robustes Hickoryholz brechen würde, macht ihm zunächst nichts aus. Und als zusätzlicher Vorteil kann er leicht und kostengünstig ersetzt werden: Sollte er nach regem Gebrauch doch irgendwann mal verschleißen oder brechen, sind Ersatzgriffe separat erhältlich (Bitte beachte: Jeder Griff kann und wird vorraussichtlich irgendwann brechen).
Um den Träger selbst vor der Schnittkante und der gefährlich scharfen Spitze zu schützen, wird das Trench Hawk mit einer patentierten Secure-Ex™ Scheide mit ausgeklügeltem Gelenkdesign geliefert. 
Details: 
- Trench Hawk, Schwarz 
- Klingenmaterial: Karbonstahl 1055, gesenkgeschmiedet 
- Griffmaterial: Polypropylen 
- Gesamtlänge: ca. 48,3 cm 
- Axtblattlänge: ca. 22,2 cm 
- Schlagkante: ca. 8,9 cm 
- Gewicht: ca. 822 g 
- Inkl. Secure-Ex™ Scheide 
- Cold Steel Artikelnummer: 90PTH / 90PTHZ 
Ebenfalls erhältlich: 
- Trench Hawk, Flat Dark Earth (Braun): Artikelnr. CST-90PTHFZ 
- Trench Hawk, O.D. Green (Olivgrün): Artikelnr. CST-90PTHGZ 
- Ersatzgriff für Trench Hawk, Schwarz: Artikelnr. CST-H90PTH 
</t>
  </si>
  <si>
    <t>SOG-F06PN-CP</t>
  </si>
  <si>
    <t>FAST HAWK POLIERT</t>
  </si>
  <si>
    <t>Die kleinste, schnellste und wendigste Axt im SOG Sortiment. Etwas kleiner
als das Tactical Tomahawk, gut geeignet als Begleiter beim Camping und im
Outdoorbereich. Poliert. Griff aus Glasfaser verstärktem Nylon. Mit Nylonetui.
Länge 31.7cm, 
Klingenlänge 5.1cm, 
538g, 
Stahl 420</t>
  </si>
  <si>
    <t>SOG-F06TN-CP</t>
  </si>
  <si>
    <t>FAST HAWK BLACK</t>
  </si>
  <si>
    <t>Die kleinste, schnellste und wendigste Axt im SOG Sortiment. Etwas kleiner
als das Tactical Tomahawk, gut geeignet als Begleiter beim Camping und im
Outdoorbereich. Schwarz beschichtet. Griff aus Glasfaser verstärktem Nylon.
Mit Nylonetui.
Länge 31.7cm, 
Klingenlänge 5.1cm, 
538g, 
Stahl 420</t>
  </si>
  <si>
    <t>Double Bit Michigan Axe</t>
  </si>
  <si>
    <t>Condor</t>
  </si>
  <si>
    <t>Die doppelköpfige Double Bit Michigan Axe ist für alle schweren Arbeiten bestens geeignet, und mit der zweiten Schneide steht dem doppelt so langen Einsatz bis zum Nachschärfen nichts im Wege. Der Stiel der Axt wird aus Hickory gefertigt. Axtkopf aus 1060 Kohlenstoffstahl. Lieferung mit Lederscheide.rtikeltyp: Axt / Tomahawk
Gesamtlänge: 66,0 cm
Gewicht: 1.362,0 g
Klingenmaterial: 106
Griffmaterial: Hickoryholz
Farbe: Braun</t>
  </si>
  <si>
    <t>SCAXE10 Hatchet Black</t>
  </si>
  <si>
    <t>Schrade Hatchet Knife SCAXE10 11 1/8" overall. Two tone black and silver finish. New 11 1/8" overall. Two tone black and silver finish 3Cr13 stainless axe head with 3 5/8" cutting edge.</t>
  </si>
  <si>
    <t>Linder Scorpion TH</t>
  </si>
  <si>
    <t>„Scorpion“-Wurfbeil rostfrei. Klinge schwarz beschichtet, mit Kordel umwickelter Griff. Gesamtlänge 27 cm. Gewicht 248 g. In Cordura-Scheide.</t>
  </si>
  <si>
    <t>BlackField Tactical Axt</t>
  </si>
  <si>
    <t>Eine kräftige Tactical Axt ganz in schwarz. Das Axtblatt ist aus 420 rostfreiem Stahl, schwarz beschichtet, der Griff aus robustem Nylonfiber.
Mit kräftigem Nylonetui.
Gesamtlänge 300 mm
Breite Axtblatt 190 mm
Gewicht 550 g</t>
  </si>
  <si>
    <t>09SC016</t>
  </si>
  <si>
    <t>Magnum Pocket- Axe</t>
  </si>
  <si>
    <t>Handliche und robuste Universalaxt, die in keinem Haushalt, Wohnmobil oder bei mehrtägigen Outdoortouren fehlen darf. Die komplette Axt besteht aus einem massiven Stück 440er Stahl. Um die Griffigkeit zu erhöhen wurden schwarze, angenehm strukturierte G10-Schalen aufgeschraubt, die bei Bedarf entfernt werden und z.B. durch Paracord ersetzt werden können. Die Axt stellt ein Universalwerkzeug dar, dessen Einsatzgebiet über Schneid- und Hackarbeiten deutlich hinausgeht. Zur weiteren Ausstattung gehören eine Hammerfunktion, ein Leinencutter und ein Sechskantschraubenschlüssel (10, 13, 17 mm). Inklusive Fangriemenöse und Kydex-Klingenschutz.Gesamtlänge: 21,0 cm
Klingenlänge: 6,5 cm
Gewicht: 315 g
Klingenstärke: 5,2 mm
Klingenmaterial: 440A
Griffmaterial: G10
Verschluss: Feststehend</t>
  </si>
  <si>
    <t>09CN007</t>
  </si>
  <si>
    <t>Condor Travelhawk Axe</t>
  </si>
  <si>
    <t>Tony Lennartz ist ein echtes Urgestein der Survival-Szene, und den meisten unserer Kunden sicher ein Begriff. Bereits in den Achtzigern entwarf er den legendären und unerreichten Vollklassiker German Expedition Knife,das in einer überarbeiteten Version ebenso wie zwei neuere Varianten von uns im Hause Böker produziert werden. Nun legt Tony Lennartz mit der Travelhawk Axe ein Gemeinschaftsprojekt mit Condor vor, und wir freuen uns natürlich besonders, dieses jetzt in unserem Katalog präsentieren zu können. Wie in allen Lennartz-Entwürfen vereinen sich in der Travelhawk Erfahrung mit kreativer und unkonventioneller Schaffenskraft. In der Form sowohl inspiriert von der Fränkischen Franziska als auch von der kleinen Wikingeraxt Skeggöx, ist der Clou des Beiles, das Stiel und Kopf mit einem Handgriff in zwei Teile zerlegt werden können. Dadurch wird das Beil einerseits leicht transportierbar, und andererseits ist der Kopf so separat als Messer für spezielle Aufgaben wie zum Beispiel das Häuten von Wild geeignet.Gesamtlänge: 41,5 cm
Gewicht: 860 g
Griffmaterial: Hickoryholz
Designer: Tony Lennartz</t>
  </si>
  <si>
    <t>09RU001</t>
  </si>
  <si>
    <t>K25 Hacha</t>
  </si>
  <si>
    <t>Das Hacha ist vielseitig einsetzbar: Ob beim Spalten von Holz, beim Campen oder als Zugangswerkzeug nach einem Unfall, ist das robuste Gerät eine exzellente Wahl. Die Klinge aus 7CR17MoV bietet sowohl Schnitthaltigkeit als auch Flexibilität. Der hochwertige Griff aus glasfaserverstärktem Kunststoff liegt sicher und angenehm in der Hand, und die zusätzliche Handschlaufe steigert die Arbeitssicherheit nochmals. Mit Nylonscheide.Gesamtlänge: 31,0 cm
Klingenlänge: 9,0 cm
Gewicht: 584 g
Klingenstärke: 4,7 mm
Klingenmaterial: 7Cr17MoV
Verschluss: Feststehend</t>
  </si>
  <si>
    <t>Zombie Dead Axt</t>
  </si>
  <si>
    <t>Zombie Dead Axt
Der Zombie-Boom ist nicht mehr aufzuhalten!
Längst treiben die Untoten auch jenseits von Halloween ihr Unwesen.
"World War Z", "The Walking Dead", "Dead Space" oder "Resident Evil" sind nur einige Beispiele, mit denen die Unterhaltungsindustrie den Mythos "Zombie" wieder auferstehen lässt.
In der Messerlinie HALLER ZOMBIE DEAD sind zahlreiche Verteidungsmöglichkeiten gegen Zombies zu finden.
Ob nun zur Vorbereitung auf die Apokalypse oder für Fans ausgefallener Klingen, HALLER ZD - Artikel hinterlassen auf jeden Fall einen scharfen Eindruck!
Komplett aus 420 rostfreim Stahl gefertigt, schwarz beschichtet, am Griff mit zombiegrüner Kordel umwickelt. Mit Nylonscheide.
Breite Axtblatt 185 mm
Gesamtlänge 320 mm</t>
  </si>
  <si>
    <t>sog-th1001-cp</t>
  </si>
  <si>
    <t>THROWING HAWKS 3ER SET</t>
  </si>
  <si>
    <t>Diese stylischen Wurfäxte, oder "Throwing Hawks" machen nicht nur Spaß im normalen Gebrauch.: durch das Gleichgewicht, die Aerodynamik und die Proportionen können sie auch gut zum Werfen verwenden werden! Die Griffe sind mit Paracord umwickelt und sind somit schön leicht. Die drei Äxte werden in einem praktischen Nylonetu igeliefert.
Gesamtlänge: 27.3cm
Klinge: 4.3cm
Gewicht: 720g
Stahl: 3Cr13MoV</t>
  </si>
  <si>
    <t>WETTERHALL 1,6 Wurfaxt HB</t>
  </si>
  <si>
    <t>Naturzone</t>
  </si>
  <si>
    <t>Hultafors</t>
  </si>
  <si>
    <t>WETTERHALL 1,6 Wurfaxt HB
Diese Art von Doppel-Bit-Äxten wurde ursprünglich von Holzfällern benutzt, die davon profitierten, jederzeit eine scharfe Axt griffbereit zu haben. So wurde eine Seite für raue Arbeiten und die andere für Feinarbeiten verwendet. Heute wird die Axt hauptsächlich in Wettbewerben unter Enthusiasten als Wurfaxt verwendet. Sie wurde nach dem Schmied Wetterhall be-nannt, der länger als jeder andere in Hults Bruk gearbeitet hat. Wie bei allen Hulta-fors Äxten ist auch die Wetterhall Wurfaxt handgeschmiedet und aus schwedischem Qualitätsstahl hergestellt. Als Teil des Kopfschmiedeprozesses wurde der Stah-laxtkopf 40–60 Mal geschlagen, wodurch die Dichte erhöht und die daraus resultie-rende Haltbarkeit verlängert wurde.
HERVORRAGENDE WURFAXT
GESAMTGEWICHT: 2280 G
KOPFGEWICHT: 1600 G
GRIFFLÄNGE: 760 MM /30”
HOLZGRIFF AUS AMERIK ANISCHER HICKORY,
MIT LEINÖL BEHANDELT
KANTE IST GESCHLIFFEN, POLIERT UND GEBRAUCHSFERTIG
INKLUSIVE LEDER SCHNEIDSCHUTZ
HANDGESCHMIEDET IN SCHWEDEN</t>
  </si>
  <si>
    <t>09UC3457</t>
  </si>
  <si>
    <t>United Cutlery M48 Viking Axe</t>
  </si>
  <si>
    <t>Wer in die Welt der skandinavischen Seekrieger eintauchen möchte, kommt an der M48 Viking Axe von United Cutlery nicht vorbei. Die moderne Interpretation der Wikinger-Axt ist mit einer rostfreien Klinge aus 3Cr13 und einem äußerst rutschfesten Griff aus FRN ausgestattet. Lieferung ohne Wikinger Bart und Hornhelm, aber mit passgenauer Nylon Scheide.
Gesamtlänge: 69,9 cm
Klingenlänge: 17,5 cm
Gewicht: 1.588 g
Klingenstärke: 6,4 mm
Klingenmaterial: 3Cr13
Griffmaterial: FRN</t>
  </si>
  <si>
    <t>CTK4051C175</t>
  </si>
  <si>
    <t>Axt Set 3 tlg</t>
  </si>
  <si>
    <t>Diese taktischen Äxte im praktischen 3er Set sind komplett schwarz beschichtet.
Klingenstahl: 420 rostfrei
Griffmaterial: 420 rostfrei
Scheide: Nylon
Höhe Axtblatt: 90 mm
Breite Axtblatt: 145 mm
Gesamtlänge: 210 mm
Gewicht (einzeln): 240 g</t>
  </si>
  <si>
    <t>Gewicht kg</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</si>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</sst>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CHF&quot;\ * #,##0.00_ ;_ &quot;CHF&quot;\ * \-#,##0.00_ ;_ &quot;CHF&quot;\ * &quot;-&quot;??_ ;_ @_ "/>
    <numFmt numFmtId="164" formatCode="_ &quot;Fr.&quot;\ * #,##0.00_ ;_ &quot;Fr.&quot;\ * \-#,##0.00_ ;_ &quot;Fr.&quot;\ * &quot;-&quot;??_ ;_ @_ "/>
    <numFmt numFmtId="165" formatCode="_ &quot;Fr.&quot;\ * #\'##0.00_ ;_ &quot;Fr.&quot;\ * \-#\'##0.00_ ;_ &quot;Fr.&quot;\ * &quot;-&quot;??_ ;_ @_ "/>
    <numFmt numFmtId="166" formatCode="_-* #,##0.00\ &quot;€&quot;_-;\-* #,##0.00\ &quot;€&quot;_-;_-* &quot;-&quot;??\ &quot;€&quot;_-;_-@_-"/>
  </numFmts>
  <fonts count="6" x14ac:knownFonts="1">
    <font>
      <sz val="11"/>
      <color theme="1"/>
      <name val="Calibri"/>
      <family val="2"/>
      <scheme val="minor"/>
    </font>
    <font>
      <sz val="11"/>
      <color theme="1"/>
      <name val="Calibri"/>
      <family val="2"/>
      <scheme val="minor"/>
    </font>
    <font>
      <sz val="8"/>
      <name val="Calibri"/>
      <family val="2"/>
      <scheme val="minor"/>
    </font>
    <font>
      <sz val="11"/>
      <name val="Calibri"/>
      <family val="2"/>
      <scheme val="minor"/>
    </font>
    <font>
      <sz val="11"/>
      <color indexed="8"/>
      <name val="Calibri"/>
      <family val="2"/>
      <scheme val="minor"/>
    </font>
    <font>
      <b/>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9">
    <xf numFmtId="0" fontId="0" fillId="0" borderId="0"/>
    <xf numFmtId="4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4" fillId="0" borderId="0"/>
    <xf numFmtId="166" fontId="1" fillId="0" borderId="0" applyFont="0" applyFill="0" applyBorder="0" applyAlignment="0" applyProtection="0"/>
    <xf numFmtId="164" fontId="1" fillId="0" borderId="0" applyFont="0" applyFill="0" applyBorder="0" applyAlignment="0" applyProtection="0"/>
  </cellStyleXfs>
  <cellXfs count="11">
    <xf numFmtId="0" fontId="0" fillId="0" borderId="0" xfId="0"/>
    <xf numFmtId="0" fontId="2" fillId="0" borderId="1" xfId="0" applyFont="1" applyBorder="1"/>
    <xf numFmtId="0" fontId="2" fillId="0" borderId="1" xfId="1" applyNumberFormat="1" applyFont="1" applyFill="1" applyBorder="1"/>
    <xf numFmtId="0" fontId="2" fillId="0" borderId="1" xfId="0" applyFont="1" applyBorder="1" applyAlignment="1">
      <alignment wrapText="1"/>
    </xf>
    <xf numFmtId="164" fontId="2" fillId="0" borderId="1" xfId="0" applyNumberFormat="1" applyFont="1" applyBorder="1"/>
    <xf numFmtId="0" fontId="2" fillId="0" borderId="0" xfId="0" applyFont="1"/>
    <xf numFmtId="1" fontId="2" fillId="0" borderId="1" xfId="0" applyNumberFormat="1" applyFont="1" applyBorder="1"/>
    <xf numFmtId="0" fontId="2" fillId="0" borderId="1" xfId="0" applyFont="1" applyBorder="1" applyAlignment="1">
      <alignment horizontal="center"/>
    </xf>
    <xf numFmtId="0" fontId="3" fillId="0" borderId="0" xfId="0" applyFont="1"/>
    <xf numFmtId="0" fontId="2" fillId="0" borderId="0" xfId="1" applyNumberFormat="1" applyFont="1" applyFill="1"/>
    <xf numFmtId="164" fontId="5" fillId="0" borderId="2" xfId="0" applyNumberFormat="1" applyFont="1" applyBorder="1"/>
  </cellXfs>
  <cellStyles count="9">
    <cellStyle name="Standard" xfId="0" builtinId="0"/>
    <cellStyle name="Standard 2" xfId="6" xr:uid="{C6348820-8E85-46B0-B5EA-02FBCCC211A6}"/>
    <cellStyle name="Währung" xfId="1" builtinId="4"/>
    <cellStyle name="Währung 2" xfId="2" xr:uid="{2C27D4A0-A690-47D6-B132-4162D3A33498}"/>
    <cellStyle name="Währung 2 2 2" xfId="5" xr:uid="{221F709C-A724-4FAC-8B45-DAED25DA39F4}"/>
    <cellStyle name="Währung 3" xfId="7" xr:uid="{C0C77DBA-CD89-4C03-8F36-3D35C141A5BC}"/>
    <cellStyle name="Währung 4" xfId="3" xr:uid="{5EB333DD-41A7-4E88-B4BE-60A0FCF2B9CF}"/>
    <cellStyle name="Währung 5" xfId="4" xr:uid="{8D67345A-E7A7-41B4-B6D6-95B6527A21B7}"/>
    <cellStyle name="Währung 6" xfId="8" xr:uid="{0D1948EC-F3CB-43D7-9391-D258E99699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1036-99B1-41F2-B8AF-91C495195D85}">
  <sheetPr codeName="Tabelle6"/>
  <dimension ref="A1:BF26"/>
  <sheetViews>
    <sheetView tabSelected="1" workbookViewId="0">
      <pane xSplit="1" topLeftCell="T1" activePane="topRight" state="frozen"/>
      <selection activeCell="S48" sqref="S48"/>
      <selection pane="topRight" activeCell="A2" sqref="A2:A18"/>
    </sheetView>
  </sheetViews>
  <sheetFormatPr baseColWidth="10" defaultRowHeight="15" x14ac:dyDescent="0.25"/>
  <cols>
    <col min="1" max="1" width="4.42578125" style="8" bestFit="1" customWidth="1"/>
    <col min="2" max="2" width="2.42578125" style="8" bestFit="1" customWidth="1"/>
    <col min="3" max="3" width="2.5703125" style="8" bestFit="1" customWidth="1"/>
    <col min="4" max="4" width="2.7109375" style="8" bestFit="1" customWidth="1"/>
    <col min="5" max="5" width="3" style="8" bestFit="1" customWidth="1"/>
    <col min="6" max="6" width="10.28515625" style="8" bestFit="1" customWidth="1"/>
    <col min="7" max="7" width="10.5703125" style="8" bestFit="1" customWidth="1"/>
    <col min="8" max="8" width="7.7109375" style="8" bestFit="1" customWidth="1"/>
    <col min="9" max="9" width="21.28515625" style="8" bestFit="1" customWidth="1"/>
    <col min="10" max="10" width="27.85546875" style="8" bestFit="1" customWidth="1"/>
    <col min="11" max="11" width="11.85546875" style="8" bestFit="1" customWidth="1"/>
    <col min="12" max="12" width="12" style="8" bestFit="1" customWidth="1"/>
    <col min="13" max="13" width="9.85546875" style="8" bestFit="1" customWidth="1"/>
    <col min="14" max="14" width="10" style="8" bestFit="1" customWidth="1"/>
    <col min="15" max="15" width="10.5703125" style="8" bestFit="1" customWidth="1"/>
    <col min="16" max="16" width="8" style="8" bestFit="1" customWidth="1"/>
    <col min="17" max="17" width="11.42578125" style="8"/>
    <col min="18" max="18" width="12.140625" style="8" bestFit="1" customWidth="1"/>
    <col min="19" max="19" width="169.5703125" style="8" bestFit="1" customWidth="1"/>
    <col min="20" max="20" width="63.7109375" style="8" bestFit="1" customWidth="1"/>
    <col min="21" max="21" width="21.28515625" style="8" bestFit="1" customWidth="1"/>
    <col min="22" max="22" width="63.7109375" style="8" bestFit="1" customWidth="1"/>
    <col min="23" max="23" width="11.42578125" style="8"/>
    <col min="24" max="24" width="14.140625" style="8" bestFit="1" customWidth="1"/>
    <col min="25" max="25" width="32" style="8" bestFit="1" customWidth="1"/>
    <col min="26" max="26" width="10.5703125" style="8" bestFit="1" customWidth="1"/>
    <col min="27" max="28" width="8.28515625" style="8" bestFit="1" customWidth="1"/>
    <col min="29" max="16384" width="11.42578125" style="8"/>
  </cols>
  <sheetData>
    <row r="1" spans="1:58" ht="15" customHeight="1" x14ac:dyDescent="0.25">
      <c r="A1" s="1"/>
      <c r="B1" s="1" t="s">
        <v>1</v>
      </c>
      <c r="C1" s="1" t="s">
        <v>2</v>
      </c>
      <c r="D1" s="1" t="s">
        <v>3</v>
      </c>
      <c r="E1" s="1" t="s">
        <v>4</v>
      </c>
      <c r="F1" s="1" t="s">
        <v>40</v>
      </c>
      <c r="G1" s="1" t="s">
        <v>5</v>
      </c>
      <c r="H1" s="1" t="s">
        <v>6</v>
      </c>
      <c r="I1" s="1" t="s">
        <v>7</v>
      </c>
      <c r="J1" s="1" t="s">
        <v>8</v>
      </c>
      <c r="K1" s="1" t="s">
        <v>9</v>
      </c>
      <c r="L1" s="2" t="s">
        <v>10</v>
      </c>
      <c r="M1" s="1" t="s">
        <v>11</v>
      </c>
      <c r="N1" s="2"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7" t="s">
        <v>88</v>
      </c>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row>
    <row r="2" spans="1:58" ht="15" customHeight="1" x14ac:dyDescent="0.25">
      <c r="A2" s="1">
        <v>1</v>
      </c>
      <c r="B2" s="1"/>
      <c r="C2" s="1">
        <v>1</v>
      </c>
      <c r="D2" s="1"/>
      <c r="E2" s="1"/>
      <c r="F2" s="1">
        <v>2</v>
      </c>
      <c r="G2" s="1">
        <v>12788</v>
      </c>
      <c r="H2" s="1">
        <v>1</v>
      </c>
      <c r="I2" s="1" t="s">
        <v>41</v>
      </c>
      <c r="J2" s="1" t="s">
        <v>42</v>
      </c>
      <c r="K2" s="1"/>
      <c r="L2" s="2">
        <v>75</v>
      </c>
      <c r="M2" s="1">
        <v>53</v>
      </c>
      <c r="N2" s="2">
        <v>37.75</v>
      </c>
      <c r="O2" s="1">
        <f>G2</f>
        <v>12788</v>
      </c>
      <c r="P2" s="1" t="s">
        <v>27</v>
      </c>
      <c r="Q2" s="1" t="s">
        <v>28</v>
      </c>
      <c r="R2" s="6"/>
      <c r="S2" s="1" t="s">
        <v>43</v>
      </c>
      <c r="T2" s="1" t="str">
        <f>$I2 &amp; "," &amp; $J2 &amp;"," &amp; $P2 &amp;","&amp; $Q2</f>
        <v>Tactical Tomahawk Black,Accueil,Messer plus,Axt und Tomahawk,Airsoft,Walther</v>
      </c>
      <c r="U2" s="1" t="str">
        <f>I2</f>
        <v>Tactical Tomahawk Black</v>
      </c>
      <c r="V2" s="1" t="str">
        <f>T2</f>
        <v>Tactical Tomahawk Black,Accueil,Messer plus,Axt und Tomahawk,Airsoft,Walther</v>
      </c>
      <c r="W2" s="1">
        <v>1</v>
      </c>
      <c r="X2" s="1">
        <v>1</v>
      </c>
      <c r="Y2" s="1" t="str">
        <f xml:space="preserve"> "http://usfh.ch/img/Beil/" &amp; G2 &amp; ".jpg"</f>
        <v>http://usfh.ch/img/Beil/12788.jpg</v>
      </c>
      <c r="Z2" s="1">
        <f>G2</f>
        <v>12788</v>
      </c>
      <c r="AA2" s="4">
        <f>F2*L2</f>
        <v>150</v>
      </c>
      <c r="AB2" s="4">
        <f>F2*N2</f>
        <v>75.5</v>
      </c>
      <c r="AC2" s="1">
        <v>1</v>
      </c>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row>
    <row r="3" spans="1:58" ht="15" customHeight="1" x14ac:dyDescent="0.25">
      <c r="A3" s="1">
        <v>2</v>
      </c>
      <c r="B3" s="1"/>
      <c r="C3" s="1"/>
      <c r="D3" s="1"/>
      <c r="E3" s="1"/>
      <c r="F3" s="1">
        <v>2</v>
      </c>
      <c r="G3" s="1">
        <v>88220</v>
      </c>
      <c r="H3" s="1">
        <v>1</v>
      </c>
      <c r="I3" s="1" t="s">
        <v>44</v>
      </c>
      <c r="J3" s="1" t="s">
        <v>42</v>
      </c>
      <c r="K3" s="1"/>
      <c r="L3" s="2">
        <v>75</v>
      </c>
      <c r="M3" s="1">
        <v>53</v>
      </c>
      <c r="N3" s="2">
        <v>29.65</v>
      </c>
      <c r="O3" s="1">
        <f t="shared" ref="O3:O17" si="0">G3</f>
        <v>88220</v>
      </c>
      <c r="P3" s="1" t="s">
        <v>31</v>
      </c>
      <c r="Q3" s="1" t="s">
        <v>31</v>
      </c>
      <c r="R3" s="6">
        <v>4050346882200</v>
      </c>
      <c r="S3" s="3" t="s">
        <v>45</v>
      </c>
      <c r="T3" s="1" t="str">
        <f t="shared" ref="T3:T18" si="1">$I3 &amp; "," &amp; $J3 &amp;"," &amp; $P3 &amp;","&amp; $Q3</f>
        <v>BlackField Tactical Axt 2.0,Accueil,Messer plus,Axt und Tomahawk,Haller,Haller</v>
      </c>
      <c r="U3" s="1" t="str">
        <f t="shared" ref="U3:U17" si="2">I3</f>
        <v>BlackField Tactical Axt 2.0</v>
      </c>
      <c r="V3" s="1" t="str">
        <f t="shared" ref="V3:V17" si="3">T3</f>
        <v>BlackField Tactical Axt 2.0,Accueil,Messer plus,Axt und Tomahawk,Haller,Haller</v>
      </c>
      <c r="W3" s="1">
        <v>1</v>
      </c>
      <c r="X3" s="1">
        <v>1</v>
      </c>
      <c r="Y3" s="1" t="str">
        <f t="shared" ref="Y3:Y18" si="4" xml:space="preserve"> "http://usfh.ch/img/Beil/" &amp; G3 &amp; ".jpg"</f>
        <v>http://usfh.ch/img/Beil/88220.jpg</v>
      </c>
      <c r="Z3" s="1">
        <f t="shared" ref="Z3:Z17" si="5">G3</f>
        <v>88220</v>
      </c>
      <c r="AA3" s="4">
        <f t="shared" ref="AA3:AA17" si="6">F3*L3</f>
        <v>150</v>
      </c>
      <c r="AB3" s="4">
        <f t="shared" ref="AB3:AB17" si="7">F3*N3</f>
        <v>59.3</v>
      </c>
      <c r="AC3" s="1">
        <v>1</v>
      </c>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row>
    <row r="4" spans="1:58" ht="15" customHeight="1" x14ac:dyDescent="0.25">
      <c r="A4" s="1">
        <v>3</v>
      </c>
      <c r="B4" s="1"/>
      <c r="C4" s="1"/>
      <c r="D4" s="1"/>
      <c r="E4" s="1"/>
      <c r="F4" s="1">
        <v>0</v>
      </c>
      <c r="G4" s="1" t="s">
        <v>46</v>
      </c>
      <c r="H4" s="1">
        <v>1</v>
      </c>
      <c r="I4" s="1" t="s">
        <v>47</v>
      </c>
      <c r="J4" s="1" t="s">
        <v>42</v>
      </c>
      <c r="K4" s="1"/>
      <c r="L4" s="2">
        <v>95</v>
      </c>
      <c r="M4" s="1">
        <v>53</v>
      </c>
      <c r="N4" s="2">
        <v>47.4</v>
      </c>
      <c r="O4" s="1" t="str">
        <f t="shared" si="0"/>
        <v>CST-90PTH</v>
      </c>
      <c r="P4" s="1" t="s">
        <v>33</v>
      </c>
      <c r="Q4" s="1" t="s">
        <v>33</v>
      </c>
      <c r="R4" s="6"/>
      <c r="S4" s="3" t="s">
        <v>48</v>
      </c>
      <c r="T4" s="1" t="str">
        <f t="shared" si="1"/>
        <v>Trench Hawk, Schwarz,Accueil,Messer plus,Axt und Tomahawk,Coldsteel,Coldsteel</v>
      </c>
      <c r="U4" s="1" t="str">
        <f t="shared" si="2"/>
        <v>Trench Hawk, Schwarz</v>
      </c>
      <c r="V4" s="1" t="str">
        <f t="shared" si="3"/>
        <v>Trench Hawk, Schwarz,Accueil,Messer plus,Axt und Tomahawk,Coldsteel,Coldsteel</v>
      </c>
      <c r="W4" s="1">
        <v>1</v>
      </c>
      <c r="X4" s="1">
        <v>1</v>
      </c>
      <c r="Y4" s="1" t="str">
        <f t="shared" si="4"/>
        <v>http://usfh.ch/img/Beil/CST-90PTH.jpg</v>
      </c>
      <c r="Z4" s="1" t="str">
        <f t="shared" si="5"/>
        <v>CST-90PTH</v>
      </c>
      <c r="AA4" s="4">
        <f t="shared" si="6"/>
        <v>0</v>
      </c>
      <c r="AB4" s="4">
        <f t="shared" si="7"/>
        <v>0</v>
      </c>
      <c r="AC4" s="1">
        <v>1</v>
      </c>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row>
    <row r="5" spans="1:58" ht="15" customHeight="1" x14ac:dyDescent="0.25">
      <c r="A5" s="1">
        <v>4</v>
      </c>
      <c r="B5" s="1"/>
      <c r="C5" s="1"/>
      <c r="D5" s="1"/>
      <c r="E5" s="1"/>
      <c r="F5" s="1">
        <v>1</v>
      </c>
      <c r="G5" s="1" t="s">
        <v>49</v>
      </c>
      <c r="H5" s="1">
        <v>1</v>
      </c>
      <c r="I5" s="1" t="s">
        <v>50</v>
      </c>
      <c r="J5" s="1" t="s">
        <v>42</v>
      </c>
      <c r="K5" s="1"/>
      <c r="L5" s="2">
        <v>59</v>
      </c>
      <c r="M5" s="1">
        <v>53</v>
      </c>
      <c r="N5" s="2">
        <v>29.5</v>
      </c>
      <c r="O5" s="1" t="str">
        <f t="shared" si="0"/>
        <v>SOG-F06PN-CP</v>
      </c>
      <c r="P5" s="1" t="s">
        <v>35</v>
      </c>
      <c r="Q5" s="1" t="s">
        <v>36</v>
      </c>
      <c r="R5" s="6"/>
      <c r="S5" s="3" t="s">
        <v>51</v>
      </c>
      <c r="T5" s="1" t="str">
        <f t="shared" si="1"/>
        <v>FAST HAWK POLIERT,Accueil,Messer plus,Axt und Tomahawk,Klötzli,SOG</v>
      </c>
      <c r="U5" s="1" t="str">
        <f t="shared" si="2"/>
        <v>FAST HAWK POLIERT</v>
      </c>
      <c r="V5" s="1" t="str">
        <f t="shared" si="3"/>
        <v>FAST HAWK POLIERT,Accueil,Messer plus,Axt und Tomahawk,Klötzli,SOG</v>
      </c>
      <c r="W5" s="1">
        <v>1</v>
      </c>
      <c r="X5" s="1">
        <v>1</v>
      </c>
      <c r="Y5" s="1" t="str">
        <f t="shared" si="4"/>
        <v>http://usfh.ch/img/Beil/SOG-F06PN-CP.jpg</v>
      </c>
      <c r="Z5" s="1" t="str">
        <f t="shared" si="5"/>
        <v>SOG-F06PN-CP</v>
      </c>
      <c r="AA5" s="4">
        <f t="shared" si="6"/>
        <v>59</v>
      </c>
      <c r="AB5" s="4">
        <f t="shared" si="7"/>
        <v>29.5</v>
      </c>
      <c r="AC5" s="1">
        <v>1</v>
      </c>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row>
    <row r="6" spans="1:58" ht="15" customHeight="1" x14ac:dyDescent="0.25">
      <c r="A6" s="1">
        <v>5</v>
      </c>
      <c r="B6" s="1"/>
      <c r="C6" s="1"/>
      <c r="D6" s="1"/>
      <c r="E6" s="1"/>
      <c r="F6" s="1">
        <v>1</v>
      </c>
      <c r="G6" s="1" t="s">
        <v>52</v>
      </c>
      <c r="H6" s="1">
        <v>1</v>
      </c>
      <c r="I6" s="1" t="s">
        <v>53</v>
      </c>
      <c r="J6" s="1" t="s">
        <v>42</v>
      </c>
      <c r="K6" s="1"/>
      <c r="L6" s="2">
        <v>59</v>
      </c>
      <c r="M6" s="1">
        <v>53</v>
      </c>
      <c r="N6" s="2">
        <v>29.5</v>
      </c>
      <c r="O6" s="1" t="str">
        <f t="shared" si="0"/>
        <v>SOG-F06TN-CP</v>
      </c>
      <c r="P6" s="1" t="s">
        <v>35</v>
      </c>
      <c r="Q6" s="1" t="s">
        <v>36</v>
      </c>
      <c r="R6" s="6"/>
      <c r="S6" s="3" t="s">
        <v>54</v>
      </c>
      <c r="T6" s="1" t="str">
        <f t="shared" si="1"/>
        <v>FAST HAWK BLACK,Accueil,Messer plus,Axt und Tomahawk,Klötzli,SOG</v>
      </c>
      <c r="U6" s="1" t="str">
        <f t="shared" si="2"/>
        <v>FAST HAWK BLACK</v>
      </c>
      <c r="V6" s="1" t="str">
        <f t="shared" si="3"/>
        <v>FAST HAWK BLACK,Accueil,Messer plus,Axt und Tomahawk,Klötzli,SOG</v>
      </c>
      <c r="W6" s="1">
        <v>1</v>
      </c>
      <c r="X6" s="1">
        <v>1</v>
      </c>
      <c r="Y6" s="1" t="str">
        <f t="shared" si="4"/>
        <v>http://usfh.ch/img/Beil/SOG-F06TN-CP.jpg</v>
      </c>
      <c r="Z6" s="1" t="str">
        <f t="shared" si="5"/>
        <v>SOG-F06TN-CP</v>
      </c>
      <c r="AA6" s="4">
        <f t="shared" si="6"/>
        <v>59</v>
      </c>
      <c r="AB6" s="4">
        <f t="shared" si="7"/>
        <v>29.5</v>
      </c>
      <c r="AC6" s="1">
        <v>1</v>
      </c>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row>
    <row r="7" spans="1:58" ht="15" customHeight="1" x14ac:dyDescent="0.25">
      <c r="A7" s="1">
        <v>6</v>
      </c>
      <c r="B7" s="1"/>
      <c r="C7" s="1"/>
      <c r="D7" s="1"/>
      <c r="E7" s="1"/>
      <c r="F7" s="1">
        <v>1</v>
      </c>
      <c r="G7" s="1" t="s">
        <v>85</v>
      </c>
      <c r="H7" s="1">
        <v>1</v>
      </c>
      <c r="I7" s="1" t="s">
        <v>55</v>
      </c>
      <c r="J7" s="1" t="s">
        <v>42</v>
      </c>
      <c r="K7" s="1"/>
      <c r="L7" s="2">
        <v>155</v>
      </c>
      <c r="M7" s="1">
        <v>53</v>
      </c>
      <c r="N7" s="2">
        <v>77.5</v>
      </c>
      <c r="O7" s="1" t="str">
        <f t="shared" si="0"/>
        <v>CTK4051C175</v>
      </c>
      <c r="P7" s="1" t="s">
        <v>35</v>
      </c>
      <c r="Q7" s="1" t="s">
        <v>56</v>
      </c>
      <c r="R7" s="6">
        <v>4045011139895</v>
      </c>
      <c r="S7" s="3" t="s">
        <v>57</v>
      </c>
      <c r="T7" s="1" t="str">
        <f t="shared" si="1"/>
        <v>Double Bit Michigan Axe,Accueil,Messer plus,Axt und Tomahawk,Klötzli,Condor</v>
      </c>
      <c r="U7" s="1" t="str">
        <f t="shared" si="2"/>
        <v>Double Bit Michigan Axe</v>
      </c>
      <c r="V7" s="1" t="str">
        <f t="shared" si="3"/>
        <v>Double Bit Michigan Axe,Accueil,Messer plus,Axt und Tomahawk,Klötzli,Condor</v>
      </c>
      <c r="W7" s="1">
        <v>1</v>
      </c>
      <c r="X7" s="1">
        <v>1</v>
      </c>
      <c r="Y7" s="1" t="str">
        <f t="shared" si="4"/>
        <v>http://usfh.ch/img/Beil/CTK4051C175.jpg</v>
      </c>
      <c r="Z7" s="1" t="str">
        <f t="shared" si="5"/>
        <v>CTK4051C175</v>
      </c>
      <c r="AA7" s="4">
        <f t="shared" si="6"/>
        <v>155</v>
      </c>
      <c r="AB7" s="4">
        <f t="shared" si="7"/>
        <v>77.5</v>
      </c>
      <c r="AC7" s="1">
        <v>2</v>
      </c>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row>
    <row r="8" spans="1:58" ht="15" customHeight="1" x14ac:dyDescent="0.25">
      <c r="A8" s="1">
        <v>7</v>
      </c>
      <c r="B8" s="1"/>
      <c r="C8" s="1"/>
      <c r="D8" s="1"/>
      <c r="E8" s="1"/>
      <c r="F8" s="1">
        <v>0</v>
      </c>
      <c r="G8" s="1">
        <v>20549</v>
      </c>
      <c r="H8" s="1">
        <v>1</v>
      </c>
      <c r="I8" s="1" t="s">
        <v>58</v>
      </c>
      <c r="J8" s="1" t="s">
        <v>42</v>
      </c>
      <c r="K8" s="1"/>
      <c r="L8" s="2">
        <v>52</v>
      </c>
      <c r="M8" s="1">
        <v>53</v>
      </c>
      <c r="N8" s="2">
        <v>26.95</v>
      </c>
      <c r="O8" s="1">
        <f t="shared" si="0"/>
        <v>20549</v>
      </c>
      <c r="P8" s="1" t="s">
        <v>27</v>
      </c>
      <c r="Q8" s="1" t="s">
        <v>38</v>
      </c>
      <c r="R8" s="6"/>
      <c r="S8" s="3" t="s">
        <v>59</v>
      </c>
      <c r="T8" s="1" t="str">
        <f t="shared" si="1"/>
        <v>SCAXE10 Hatchet Black,Accueil,Messer plus,Axt und Tomahawk,Airsoft,Schrade</v>
      </c>
      <c r="U8" s="1" t="str">
        <f t="shared" si="2"/>
        <v>SCAXE10 Hatchet Black</v>
      </c>
      <c r="V8" s="1" t="str">
        <f t="shared" si="3"/>
        <v>SCAXE10 Hatchet Black,Accueil,Messer plus,Axt und Tomahawk,Airsoft,Schrade</v>
      </c>
      <c r="W8" s="1">
        <v>1</v>
      </c>
      <c r="X8" s="1">
        <v>1</v>
      </c>
      <c r="Y8" s="1" t="str">
        <f t="shared" si="4"/>
        <v>http://usfh.ch/img/Beil/20549.jpg</v>
      </c>
      <c r="Z8" s="1">
        <f t="shared" si="5"/>
        <v>20549</v>
      </c>
      <c r="AA8" s="4">
        <f t="shared" si="6"/>
        <v>0</v>
      </c>
      <c r="AB8" s="4">
        <f t="shared" si="7"/>
        <v>0</v>
      </c>
      <c r="AC8" s="1">
        <v>1</v>
      </c>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row>
    <row r="9" spans="1:58" ht="15" customHeight="1" x14ac:dyDescent="0.25">
      <c r="A9" s="1">
        <v>8</v>
      </c>
      <c r="B9" s="1"/>
      <c r="C9" s="1"/>
      <c r="D9" s="1"/>
      <c r="E9" s="1"/>
      <c r="F9" s="1">
        <v>0</v>
      </c>
      <c r="G9" s="1">
        <v>426227</v>
      </c>
      <c r="H9" s="1">
        <v>1</v>
      </c>
      <c r="I9" s="1" t="s">
        <v>60</v>
      </c>
      <c r="J9" s="1" t="s">
        <v>42</v>
      </c>
      <c r="K9" s="1"/>
      <c r="L9" s="2">
        <v>29</v>
      </c>
      <c r="M9" s="1">
        <v>53</v>
      </c>
      <c r="N9" s="2">
        <v>12.8</v>
      </c>
      <c r="O9" s="1">
        <f t="shared" si="0"/>
        <v>426227</v>
      </c>
      <c r="P9" s="1" t="s">
        <v>34</v>
      </c>
      <c r="Q9" s="1" t="s">
        <v>34</v>
      </c>
      <c r="R9" s="6">
        <v>4045333026422</v>
      </c>
      <c r="S9" s="3" t="s">
        <v>61</v>
      </c>
      <c r="T9" s="1" t="str">
        <f t="shared" si="1"/>
        <v>Linder Scorpion TH,Accueil,Messer plus,Axt und Tomahawk,Linder,Linder</v>
      </c>
      <c r="U9" s="1" t="str">
        <f t="shared" si="2"/>
        <v>Linder Scorpion TH</v>
      </c>
      <c r="V9" s="1" t="str">
        <f t="shared" si="3"/>
        <v>Linder Scorpion TH,Accueil,Messer plus,Axt und Tomahawk,Linder,Linder</v>
      </c>
      <c r="W9" s="1">
        <v>1</v>
      </c>
      <c r="X9" s="1">
        <v>1</v>
      </c>
      <c r="Y9" s="1" t="str">
        <f t="shared" si="4"/>
        <v>http://usfh.ch/img/Beil/426227.jpg</v>
      </c>
      <c r="Z9" s="1">
        <f t="shared" si="5"/>
        <v>426227</v>
      </c>
      <c r="AA9" s="4">
        <f t="shared" si="6"/>
        <v>0</v>
      </c>
      <c r="AB9" s="4">
        <f t="shared" si="7"/>
        <v>0</v>
      </c>
      <c r="AC9" s="1">
        <v>1</v>
      </c>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row>
    <row r="10" spans="1:58" ht="15" customHeight="1" x14ac:dyDescent="0.25">
      <c r="A10" s="1">
        <v>9</v>
      </c>
      <c r="B10" s="1"/>
      <c r="C10" s="1"/>
      <c r="D10" s="1"/>
      <c r="E10" s="1"/>
      <c r="F10" s="1">
        <v>1</v>
      </c>
      <c r="G10" s="1">
        <v>88210</v>
      </c>
      <c r="H10" s="1">
        <v>1</v>
      </c>
      <c r="I10" s="1" t="s">
        <v>62</v>
      </c>
      <c r="J10" s="1" t="s">
        <v>42</v>
      </c>
      <c r="K10" s="1"/>
      <c r="L10" s="2">
        <v>75</v>
      </c>
      <c r="M10" s="1">
        <v>53</v>
      </c>
      <c r="N10" s="2">
        <v>32.15</v>
      </c>
      <c r="O10" s="1">
        <f t="shared" si="0"/>
        <v>88210</v>
      </c>
      <c r="P10" s="1" t="s">
        <v>31</v>
      </c>
      <c r="Q10" s="1" t="s">
        <v>37</v>
      </c>
      <c r="R10" s="6">
        <v>4050346882101</v>
      </c>
      <c r="S10" s="3" t="s">
        <v>63</v>
      </c>
      <c r="T10" s="1" t="str">
        <f t="shared" si="1"/>
        <v>BlackField Tactical Axt,Accueil,Messer plus,Axt und Tomahawk,Haller,Blackfield</v>
      </c>
      <c r="U10" s="1" t="str">
        <f t="shared" si="2"/>
        <v>BlackField Tactical Axt</v>
      </c>
      <c r="V10" s="1" t="str">
        <f t="shared" si="3"/>
        <v>BlackField Tactical Axt,Accueil,Messer plus,Axt und Tomahawk,Haller,Blackfield</v>
      </c>
      <c r="W10" s="1">
        <v>1</v>
      </c>
      <c r="X10" s="1">
        <v>1</v>
      </c>
      <c r="Y10" s="1" t="str">
        <f t="shared" si="4"/>
        <v>http://usfh.ch/img/Beil/88210.jpg</v>
      </c>
      <c r="Z10" s="1">
        <f t="shared" si="5"/>
        <v>88210</v>
      </c>
      <c r="AA10" s="4">
        <f t="shared" si="6"/>
        <v>75</v>
      </c>
      <c r="AB10" s="4">
        <f t="shared" si="7"/>
        <v>32.15</v>
      </c>
      <c r="AC10" s="1">
        <v>1</v>
      </c>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row>
    <row r="11" spans="1:58" ht="15" customHeight="1" x14ac:dyDescent="0.25">
      <c r="A11" s="1">
        <v>10</v>
      </c>
      <c r="B11" s="1"/>
      <c r="C11" s="1"/>
      <c r="D11" s="1"/>
      <c r="E11" s="1"/>
      <c r="F11" s="1">
        <v>0</v>
      </c>
      <c r="G11" s="1" t="s">
        <v>64</v>
      </c>
      <c r="H11" s="1">
        <v>1</v>
      </c>
      <c r="I11" s="1" t="s">
        <v>65</v>
      </c>
      <c r="J11" s="1" t="s">
        <v>42</v>
      </c>
      <c r="K11" s="1"/>
      <c r="L11" s="2">
        <v>39</v>
      </c>
      <c r="M11" s="1">
        <v>53</v>
      </c>
      <c r="N11" s="2">
        <v>15.8</v>
      </c>
      <c r="O11" s="1" t="str">
        <f t="shared" si="0"/>
        <v>09SC016</v>
      </c>
      <c r="P11" s="1" t="s">
        <v>29</v>
      </c>
      <c r="Q11" s="1" t="s">
        <v>30</v>
      </c>
      <c r="R11" s="6">
        <v>4045011106651</v>
      </c>
      <c r="S11" s="3" t="s">
        <v>66</v>
      </c>
      <c r="T11" s="1" t="str">
        <f t="shared" si="1"/>
        <v>Magnum Pocket- Axe,Accueil,Messer plus,Axt und Tomahawk,Böker,Magnum</v>
      </c>
      <c r="U11" s="1" t="str">
        <f t="shared" si="2"/>
        <v>Magnum Pocket- Axe</v>
      </c>
      <c r="V11" s="1" t="str">
        <f t="shared" si="3"/>
        <v>Magnum Pocket- Axe,Accueil,Messer plus,Axt und Tomahawk,Böker,Magnum</v>
      </c>
      <c r="W11" s="1">
        <v>1</v>
      </c>
      <c r="X11" s="1">
        <v>1</v>
      </c>
      <c r="Y11" s="1" t="str">
        <f t="shared" si="4"/>
        <v>http://usfh.ch/img/Beil/09SC016.jpg</v>
      </c>
      <c r="Z11" s="1" t="str">
        <f t="shared" si="5"/>
        <v>09SC016</v>
      </c>
      <c r="AA11" s="4">
        <f t="shared" si="6"/>
        <v>0</v>
      </c>
      <c r="AB11" s="4">
        <f t="shared" si="7"/>
        <v>0</v>
      </c>
      <c r="AC11" s="1">
        <v>1</v>
      </c>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row>
    <row r="12" spans="1:58" ht="15" customHeight="1" x14ac:dyDescent="0.25">
      <c r="A12" s="1">
        <v>11</v>
      </c>
      <c r="B12" s="1"/>
      <c r="C12" s="1"/>
      <c r="D12" s="1"/>
      <c r="E12" s="1"/>
      <c r="F12" s="1">
        <v>0</v>
      </c>
      <c r="G12" s="1" t="s">
        <v>67</v>
      </c>
      <c r="H12" s="1">
        <v>1</v>
      </c>
      <c r="I12" s="1" t="s">
        <v>68</v>
      </c>
      <c r="J12" s="1" t="s">
        <v>42</v>
      </c>
      <c r="K12" s="1"/>
      <c r="L12" s="2">
        <v>129</v>
      </c>
      <c r="M12" s="1">
        <v>53</v>
      </c>
      <c r="N12" s="2">
        <v>57.48</v>
      </c>
      <c r="O12" s="1" t="str">
        <f t="shared" si="0"/>
        <v>09CN007</v>
      </c>
      <c r="P12" s="1" t="s">
        <v>29</v>
      </c>
      <c r="Q12" s="1" t="s">
        <v>56</v>
      </c>
      <c r="R12" s="6">
        <v>4045011169489</v>
      </c>
      <c r="S12" s="3" t="s">
        <v>69</v>
      </c>
      <c r="T12" s="1" t="str">
        <f t="shared" si="1"/>
        <v>Condor Travelhawk Axe,Accueil,Messer plus,Axt und Tomahawk,Böker,Condor</v>
      </c>
      <c r="U12" s="1" t="str">
        <f t="shared" si="2"/>
        <v>Condor Travelhawk Axe</v>
      </c>
      <c r="V12" s="1" t="str">
        <f t="shared" si="3"/>
        <v>Condor Travelhawk Axe,Accueil,Messer plus,Axt und Tomahawk,Böker,Condor</v>
      </c>
      <c r="W12" s="1">
        <v>1</v>
      </c>
      <c r="X12" s="1">
        <v>1</v>
      </c>
      <c r="Y12" s="1" t="str">
        <f t="shared" si="4"/>
        <v>http://usfh.ch/img/Beil/09CN007.jpg</v>
      </c>
      <c r="Z12" s="1" t="str">
        <f t="shared" si="5"/>
        <v>09CN007</v>
      </c>
      <c r="AA12" s="4">
        <f t="shared" si="6"/>
        <v>0</v>
      </c>
      <c r="AB12" s="4">
        <f t="shared" si="7"/>
        <v>0</v>
      </c>
      <c r="AC12" s="1">
        <v>1</v>
      </c>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row>
    <row r="13" spans="1:58" ht="15" customHeight="1" x14ac:dyDescent="0.25">
      <c r="A13" s="1">
        <v>12</v>
      </c>
      <c r="B13" s="1"/>
      <c r="C13" s="1"/>
      <c r="D13" s="1"/>
      <c r="E13" s="1"/>
      <c r="F13" s="1">
        <v>2</v>
      </c>
      <c r="G13" s="1" t="s">
        <v>70</v>
      </c>
      <c r="H13" s="1">
        <v>1</v>
      </c>
      <c r="I13" s="1" t="s">
        <v>71</v>
      </c>
      <c r="J13" s="1" t="s">
        <v>42</v>
      </c>
      <c r="K13" s="1"/>
      <c r="L13" s="2">
        <v>61</v>
      </c>
      <c r="M13" s="1">
        <v>53</v>
      </c>
      <c r="N13" s="2">
        <v>25</v>
      </c>
      <c r="O13" s="1" t="str">
        <f t="shared" si="0"/>
        <v>09RU001</v>
      </c>
      <c r="P13" s="1" t="s">
        <v>29</v>
      </c>
      <c r="Q13" s="1" t="s">
        <v>39</v>
      </c>
      <c r="R13" s="6">
        <v>4045011133091</v>
      </c>
      <c r="S13" s="3" t="s">
        <v>72</v>
      </c>
      <c r="T13" s="1" t="str">
        <f t="shared" si="1"/>
        <v>K25 Hacha,Accueil,Messer plus,Axt und Tomahawk,Böker,K25</v>
      </c>
      <c r="U13" s="1" t="str">
        <f t="shared" si="2"/>
        <v>K25 Hacha</v>
      </c>
      <c r="V13" s="1" t="str">
        <f t="shared" si="3"/>
        <v>K25 Hacha,Accueil,Messer plus,Axt und Tomahawk,Böker,K25</v>
      </c>
      <c r="W13" s="1">
        <v>1</v>
      </c>
      <c r="X13" s="1">
        <v>1</v>
      </c>
      <c r="Y13" s="1" t="str">
        <f t="shared" si="4"/>
        <v>http://usfh.ch/img/Beil/09RU001.jpg</v>
      </c>
      <c r="Z13" s="1" t="str">
        <f t="shared" si="5"/>
        <v>09RU001</v>
      </c>
      <c r="AA13" s="4">
        <f t="shared" si="6"/>
        <v>122</v>
      </c>
      <c r="AB13" s="4">
        <f t="shared" si="7"/>
        <v>50</v>
      </c>
      <c r="AC13" s="1">
        <v>1</v>
      </c>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row>
    <row r="14" spans="1:58" ht="15" customHeight="1" x14ac:dyDescent="0.25">
      <c r="A14" s="1">
        <v>13</v>
      </c>
      <c r="B14" s="1"/>
      <c r="C14" s="1"/>
      <c r="D14" s="1"/>
      <c r="E14" s="1"/>
      <c r="F14" s="1">
        <v>3</v>
      </c>
      <c r="G14" s="1">
        <v>83967</v>
      </c>
      <c r="H14" s="1">
        <v>1</v>
      </c>
      <c r="I14" s="1" t="s">
        <v>73</v>
      </c>
      <c r="J14" s="1" t="s">
        <v>42</v>
      </c>
      <c r="K14" s="1"/>
      <c r="L14" s="2">
        <v>45</v>
      </c>
      <c r="M14" s="1">
        <v>53</v>
      </c>
      <c r="N14" s="2">
        <v>15.4</v>
      </c>
      <c r="O14" s="1">
        <f t="shared" si="0"/>
        <v>83967</v>
      </c>
      <c r="P14" s="1" t="s">
        <v>31</v>
      </c>
      <c r="Q14" s="1" t="s">
        <v>31</v>
      </c>
      <c r="R14" s="6">
        <v>4050346839679</v>
      </c>
      <c r="S14" s="3" t="s">
        <v>74</v>
      </c>
      <c r="T14" s="1" t="str">
        <f t="shared" si="1"/>
        <v>Zombie Dead Axt,Accueil,Messer plus,Axt und Tomahawk,Haller,Haller</v>
      </c>
      <c r="U14" s="1" t="str">
        <f t="shared" si="2"/>
        <v>Zombie Dead Axt</v>
      </c>
      <c r="V14" s="1" t="str">
        <f t="shared" si="3"/>
        <v>Zombie Dead Axt,Accueil,Messer plus,Axt und Tomahawk,Haller,Haller</v>
      </c>
      <c r="W14" s="1">
        <v>1</v>
      </c>
      <c r="X14" s="1">
        <v>1</v>
      </c>
      <c r="Y14" s="1" t="str">
        <f t="shared" si="4"/>
        <v>http://usfh.ch/img/Beil/83967.jpg</v>
      </c>
      <c r="Z14" s="1">
        <f t="shared" si="5"/>
        <v>83967</v>
      </c>
      <c r="AA14" s="4">
        <f t="shared" si="6"/>
        <v>135</v>
      </c>
      <c r="AB14" s="4">
        <f t="shared" si="7"/>
        <v>46.2</v>
      </c>
      <c r="AC14" s="1">
        <v>1</v>
      </c>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row>
    <row r="15" spans="1:58" ht="15" customHeight="1" x14ac:dyDescent="0.25">
      <c r="A15" s="1">
        <v>14</v>
      </c>
      <c r="B15" s="1"/>
      <c r="C15" s="1"/>
      <c r="D15" s="1"/>
      <c r="E15" s="1"/>
      <c r="F15" s="1">
        <v>1</v>
      </c>
      <c r="G15" s="1" t="s">
        <v>75</v>
      </c>
      <c r="H15" s="1">
        <v>1</v>
      </c>
      <c r="I15" s="1" t="s">
        <v>76</v>
      </c>
      <c r="J15" s="1" t="s">
        <v>42</v>
      </c>
      <c r="K15" s="1"/>
      <c r="L15" s="2">
        <v>99</v>
      </c>
      <c r="M15" s="1">
        <v>53</v>
      </c>
      <c r="N15" s="2">
        <v>49.5</v>
      </c>
      <c r="O15" s="1" t="str">
        <f t="shared" si="0"/>
        <v>sog-th1001-cp</v>
      </c>
      <c r="P15" s="1" t="s">
        <v>35</v>
      </c>
      <c r="Q15" s="1" t="s">
        <v>36</v>
      </c>
      <c r="R15" s="6"/>
      <c r="S15" s="3" t="s">
        <v>77</v>
      </c>
      <c r="T15" s="1" t="str">
        <f t="shared" si="1"/>
        <v>THROWING HAWKS 3ER SET,Accueil,Messer plus,Axt und Tomahawk,Klötzli,SOG</v>
      </c>
      <c r="U15" s="1" t="str">
        <f t="shared" si="2"/>
        <v>THROWING HAWKS 3ER SET</v>
      </c>
      <c r="V15" s="1" t="str">
        <f t="shared" si="3"/>
        <v>THROWING HAWKS 3ER SET,Accueil,Messer plus,Axt und Tomahawk,Klötzli,SOG</v>
      </c>
      <c r="W15" s="1">
        <v>1</v>
      </c>
      <c r="X15" s="1">
        <v>1</v>
      </c>
      <c r="Y15" s="1" t="str">
        <f t="shared" si="4"/>
        <v>http://usfh.ch/img/Beil/sog-th1001-cp.jpg</v>
      </c>
      <c r="Z15" s="1" t="str">
        <f t="shared" si="5"/>
        <v>sog-th1001-cp</v>
      </c>
      <c r="AA15" s="4">
        <f t="shared" si="6"/>
        <v>99</v>
      </c>
      <c r="AB15" s="4">
        <f t="shared" si="7"/>
        <v>49.5</v>
      </c>
      <c r="AC15" s="1">
        <v>1</v>
      </c>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row>
    <row r="16" spans="1:58" ht="15" customHeight="1" x14ac:dyDescent="0.25">
      <c r="A16" s="1">
        <v>15</v>
      </c>
      <c r="B16" s="1"/>
      <c r="C16" s="1"/>
      <c r="D16" s="1"/>
      <c r="E16" s="1"/>
      <c r="F16" s="1">
        <v>1</v>
      </c>
      <c r="G16" s="1">
        <v>841750</v>
      </c>
      <c r="H16" s="1">
        <v>1</v>
      </c>
      <c r="I16" s="1" t="s">
        <v>78</v>
      </c>
      <c r="J16" s="1" t="s">
        <v>42</v>
      </c>
      <c r="K16" s="1"/>
      <c r="L16" s="2">
        <v>499</v>
      </c>
      <c r="M16" s="1">
        <v>53</v>
      </c>
      <c r="N16" s="2">
        <v>299.39999999999998</v>
      </c>
      <c r="O16" s="1">
        <f t="shared" si="0"/>
        <v>841750</v>
      </c>
      <c r="P16" s="1" t="s">
        <v>79</v>
      </c>
      <c r="Q16" s="1" t="s">
        <v>80</v>
      </c>
      <c r="R16" s="6"/>
      <c r="S16" s="3" t="s">
        <v>81</v>
      </c>
      <c r="T16" s="1" t="str">
        <f t="shared" si="1"/>
        <v>WETTERHALL 1,6 Wurfaxt HB,Accueil,Messer plus,Axt und Tomahawk,Naturzone,Hultafors</v>
      </c>
      <c r="U16" s="1" t="str">
        <f t="shared" si="2"/>
        <v>WETTERHALL 1,6 Wurfaxt HB</v>
      </c>
      <c r="V16" s="1" t="str">
        <f t="shared" si="3"/>
        <v>WETTERHALL 1,6 Wurfaxt HB,Accueil,Messer plus,Axt und Tomahawk,Naturzone,Hultafors</v>
      </c>
      <c r="W16" s="1">
        <v>1</v>
      </c>
      <c r="X16" s="1">
        <v>1</v>
      </c>
      <c r="Y16" s="1" t="str">
        <f t="shared" si="4"/>
        <v>http://usfh.ch/img/Beil/841750.jpg</v>
      </c>
      <c r="Z16" s="1">
        <f t="shared" si="5"/>
        <v>841750</v>
      </c>
      <c r="AA16" s="4">
        <f t="shared" si="6"/>
        <v>499</v>
      </c>
      <c r="AB16" s="4">
        <f t="shared" si="7"/>
        <v>299.39999999999998</v>
      </c>
      <c r="AC16" s="1">
        <v>2.2000000000000002</v>
      </c>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row>
    <row r="17" spans="1:58" ht="15" customHeight="1" x14ac:dyDescent="0.25">
      <c r="A17" s="1">
        <v>16</v>
      </c>
      <c r="B17" s="1"/>
      <c r="C17" s="1"/>
      <c r="D17" s="1"/>
      <c r="E17" s="1"/>
      <c r="F17" s="1">
        <v>1</v>
      </c>
      <c r="G17" s="1" t="s">
        <v>82</v>
      </c>
      <c r="H17" s="1">
        <v>1</v>
      </c>
      <c r="I17" s="1" t="s">
        <v>83</v>
      </c>
      <c r="J17" s="1" t="s">
        <v>42</v>
      </c>
      <c r="K17" s="1"/>
      <c r="L17" s="2">
        <v>239</v>
      </c>
      <c r="M17" s="1">
        <v>53</v>
      </c>
      <c r="N17" s="2">
        <v>109.5</v>
      </c>
      <c r="O17" s="1" t="str">
        <f t="shared" si="0"/>
        <v>09UC3457</v>
      </c>
      <c r="P17" s="1" t="s">
        <v>29</v>
      </c>
      <c r="Q17" s="1" t="s">
        <v>32</v>
      </c>
      <c r="R17" s="6"/>
      <c r="S17" s="3" t="s">
        <v>84</v>
      </c>
      <c r="T17" s="1" t="str">
        <f t="shared" si="1"/>
        <v>United Cutlery M48 Viking Axe,Accueil,Messer plus,Axt und Tomahawk,Böker,United Cutlery</v>
      </c>
      <c r="U17" s="1" t="str">
        <f t="shared" si="2"/>
        <v>United Cutlery M48 Viking Axe</v>
      </c>
      <c r="V17" s="1" t="str">
        <f t="shared" si="3"/>
        <v>United Cutlery M48 Viking Axe,Accueil,Messer plus,Axt und Tomahawk,Böker,United Cutlery</v>
      </c>
      <c r="W17" s="1">
        <v>1</v>
      </c>
      <c r="X17" s="1">
        <v>1</v>
      </c>
      <c r="Y17" s="1" t="str">
        <f t="shared" si="4"/>
        <v>http://usfh.ch/img/Beil/09UC3457.jpg</v>
      </c>
      <c r="Z17" s="1" t="str">
        <f t="shared" si="5"/>
        <v>09UC3457</v>
      </c>
      <c r="AA17" s="4">
        <f t="shared" si="6"/>
        <v>239</v>
      </c>
      <c r="AB17" s="4">
        <f t="shared" si="7"/>
        <v>109.5</v>
      </c>
      <c r="AC17" s="1" t="s">
        <v>89</v>
      </c>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row>
    <row r="18" spans="1:58" ht="15" customHeight="1" x14ac:dyDescent="0.25">
      <c r="A18" s="1">
        <v>17</v>
      </c>
      <c r="B18" s="1"/>
      <c r="C18" s="1"/>
      <c r="D18" s="1"/>
      <c r="E18" s="1"/>
      <c r="F18" s="1">
        <v>2</v>
      </c>
      <c r="G18" s="1">
        <v>81449</v>
      </c>
      <c r="H18" s="1">
        <v>1</v>
      </c>
      <c r="I18" s="1" t="s">
        <v>86</v>
      </c>
      <c r="J18" s="1" t="s">
        <v>42</v>
      </c>
      <c r="K18" s="1"/>
      <c r="L18" s="2">
        <v>69</v>
      </c>
      <c r="M18" s="1">
        <v>53</v>
      </c>
      <c r="N18" s="2">
        <v>19.95</v>
      </c>
      <c r="O18" s="1">
        <f t="shared" ref="O18" si="8">G18</f>
        <v>81449</v>
      </c>
      <c r="P18" s="1" t="s">
        <v>31</v>
      </c>
      <c r="Q18" s="1" t="s">
        <v>31</v>
      </c>
      <c r="R18" s="6"/>
      <c r="S18" s="3" t="s">
        <v>87</v>
      </c>
      <c r="T18" s="1" t="str">
        <f t="shared" si="1"/>
        <v>Axt Set 3 tlg,Accueil,Messer plus,Axt und Tomahawk,Haller,Haller</v>
      </c>
      <c r="U18" s="1" t="str">
        <f t="shared" ref="U18" si="9">I18</f>
        <v>Axt Set 3 tlg</v>
      </c>
      <c r="V18" s="1" t="str">
        <f t="shared" ref="V18" si="10">T18</f>
        <v>Axt Set 3 tlg,Accueil,Messer plus,Axt und Tomahawk,Haller,Haller</v>
      </c>
      <c r="W18" s="1">
        <v>1</v>
      </c>
      <c r="X18" s="1">
        <v>1</v>
      </c>
      <c r="Y18" s="1" t="str">
        <f t="shared" si="4"/>
        <v>http://usfh.ch/img/Beil/81449.jpg</v>
      </c>
      <c r="Z18" s="1">
        <f t="shared" ref="Z18" si="11">G18</f>
        <v>81449</v>
      </c>
      <c r="AA18" s="4">
        <f t="shared" ref="AA18" si="12">F18*L18</f>
        <v>138</v>
      </c>
      <c r="AB18" s="4">
        <f t="shared" ref="AB18" si="13">F18*N18</f>
        <v>39.9</v>
      </c>
      <c r="AC18" s="1">
        <v>1</v>
      </c>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row>
    <row r="19" spans="1:58" x14ac:dyDescent="0.25">
      <c r="A19" s="5"/>
      <c r="B19" s="5"/>
      <c r="C19" s="5"/>
      <c r="D19" s="5"/>
      <c r="E19" s="5"/>
      <c r="F19" s="5"/>
      <c r="G19" s="5"/>
      <c r="H19" s="5"/>
      <c r="I19" s="5"/>
      <c r="J19" s="5"/>
      <c r="K19" s="5"/>
      <c r="L19" s="9"/>
      <c r="M19" s="5"/>
      <c r="N19" s="9"/>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row>
    <row r="20" spans="1:58" x14ac:dyDescent="0.25">
      <c r="A20" s="5"/>
      <c r="B20" s="5"/>
      <c r="C20" s="5"/>
      <c r="D20" s="5"/>
      <c r="E20" s="5"/>
      <c r="F20" s="5"/>
      <c r="G20" s="5"/>
      <c r="H20" s="5"/>
      <c r="I20" s="5"/>
      <c r="J20" s="5"/>
      <c r="K20" s="5"/>
      <c r="L20" s="9"/>
      <c r="M20" s="5"/>
      <c r="N20" s="9"/>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row>
    <row r="21" spans="1:58" x14ac:dyDescent="0.25">
      <c r="A21" s="5"/>
      <c r="B21" s="5"/>
      <c r="C21" s="5"/>
      <c r="D21" s="5"/>
      <c r="E21" s="5"/>
      <c r="F21" s="5"/>
      <c r="G21" s="5"/>
      <c r="H21" s="5"/>
      <c r="I21" s="5"/>
      <c r="J21" s="5"/>
      <c r="K21" s="5"/>
      <c r="L21" s="9"/>
      <c r="M21" s="5"/>
      <c r="N21" s="9"/>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row>
    <row r="22" spans="1:58" x14ac:dyDescent="0.25">
      <c r="A22" s="5"/>
      <c r="B22" s="5"/>
      <c r="C22" s="5"/>
      <c r="D22" s="5"/>
      <c r="E22" s="5"/>
      <c r="F22" s="5"/>
      <c r="G22" s="5"/>
      <c r="H22" s="5"/>
      <c r="I22" s="5"/>
      <c r="J22" s="5"/>
      <c r="K22" s="5"/>
      <c r="L22" s="9"/>
      <c r="M22" s="5"/>
      <c r="N22" s="9"/>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row>
    <row r="23" spans="1:58" x14ac:dyDescent="0.25">
      <c r="A23" s="5"/>
      <c r="B23" s="5"/>
      <c r="C23" s="5"/>
      <c r="D23" s="5"/>
      <c r="E23" s="5"/>
      <c r="F23" s="5"/>
      <c r="G23" s="5"/>
      <c r="H23" s="5"/>
      <c r="I23" s="5"/>
      <c r="J23" s="5"/>
      <c r="K23" s="5"/>
      <c r="L23" s="9"/>
      <c r="M23" s="5"/>
      <c r="N23" s="9"/>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row>
    <row r="24" spans="1:58" x14ac:dyDescent="0.25">
      <c r="A24" s="5"/>
      <c r="B24" s="5"/>
      <c r="C24" s="5"/>
      <c r="D24" s="5"/>
      <c r="E24" s="5"/>
      <c r="F24" s="5"/>
      <c r="G24" s="5"/>
      <c r="H24" s="5"/>
      <c r="I24" s="5"/>
      <c r="J24" s="5"/>
      <c r="K24" s="5"/>
      <c r="L24" s="9"/>
      <c r="M24" s="5"/>
      <c r="N24" s="9"/>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row>
    <row r="25" spans="1:58" ht="15.75" thickBot="1" x14ac:dyDescent="0.3">
      <c r="A25" s="5"/>
      <c r="B25" s="5"/>
      <c r="C25" s="5"/>
      <c r="D25" s="5"/>
      <c r="E25" s="5"/>
      <c r="F25" s="5"/>
      <c r="G25" s="5"/>
      <c r="H25" s="5"/>
      <c r="I25" s="5"/>
      <c r="J25" s="5"/>
      <c r="K25" s="5"/>
      <c r="L25" s="9"/>
      <c r="M25" s="10">
        <f>SUM(AA2:AA18)</f>
        <v>1880</v>
      </c>
      <c r="N25" s="10">
        <f>SUM(AB2:AB17)</f>
        <v>858.05</v>
      </c>
      <c r="O25" s="5"/>
      <c r="P25" s="5" t="s">
        <v>0</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row>
    <row r="26" spans="1:58" ht="15.75" thickTop="1" x14ac:dyDescent="0.25"/>
  </sheetData>
  <phoneticPr fontId="2"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Beil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Urs Schwendener</cp:lastModifiedBy>
  <cp:lastPrinted>2025-10-08T07:53:50Z</cp:lastPrinted>
  <dcterms:created xsi:type="dcterms:W3CDTF">2023-06-14T13:57:13Z</dcterms:created>
  <dcterms:modified xsi:type="dcterms:W3CDTF">2026-04-25T11:06:54Z</dcterms:modified>
</cp:coreProperties>
</file>