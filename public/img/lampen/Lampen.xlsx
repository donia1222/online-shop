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DieseArbeitsmappe" defaultThemeVersion="166925"/>
  <mc:AlternateContent xmlns:mc="http://schemas.openxmlformats.org/markup-compatibility/2006">
    <mc:Choice Requires="x15">
      <x15ac:absPath xmlns:x15ac="http://schemas.microsoft.com/office/spreadsheetml/2010/11/ac" url="K:\Privat\US_FH\web_shop\Neuer shop\Lampen\"/>
    </mc:Choice>
  </mc:AlternateContent>
  <xr:revisionPtr revIDLastSave="0" documentId="13_ncr:1_{C1998E2B-A1E9-4423-977D-BBAEEC50BF26}" xr6:coauthVersionLast="47" xr6:coauthVersionMax="47" xr10:uidLastSave="{00000000-0000-0000-0000-000000000000}"/>
  <bookViews>
    <workbookView xWindow="-120" yWindow="-120" windowWidth="29040" windowHeight="15720" tabRatio="884" xr2:uid="{5C413A35-37CD-4FC7-9B0F-E46798A10454}"/>
  </bookViews>
  <sheets>
    <sheet name="Lampen" sheetId="8"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6" i="8" l="1"/>
  <c r="Y7" i="8"/>
  <c r="Y8" i="8"/>
  <c r="Y9" i="8"/>
  <c r="Y10" i="8"/>
  <c r="Y11" i="8"/>
  <c r="Y12" i="8"/>
  <c r="Y13" i="8"/>
  <c r="Y14" i="8"/>
  <c r="Y15" i="8"/>
  <c r="Y16" i="8"/>
  <c r="Y17" i="8"/>
  <c r="Y18" i="8"/>
  <c r="Y19" i="8"/>
  <c r="Y20" i="8"/>
  <c r="Y21" i="8"/>
  <c r="Y22" i="8"/>
  <c r="Y23" i="8"/>
  <c r="Y24" i="8"/>
  <c r="Y25" i="8"/>
  <c r="Y26" i="8"/>
  <c r="Y27" i="8"/>
  <c r="Y28" i="8"/>
  <c r="Y29" i="8"/>
  <c r="Y30" i="8"/>
  <c r="Y31" i="8"/>
  <c r="Y32" i="8"/>
  <c r="Y33" i="8"/>
  <c r="Y34" i="8"/>
  <c r="Y35" i="8"/>
  <c r="Y36" i="8"/>
  <c r="Y5" i="8"/>
  <c r="Y3" i="8"/>
  <c r="Y4" i="8"/>
  <c r="Y2" i="8"/>
  <c r="T25" i="8"/>
  <c r="O36" i="8" l="1"/>
  <c r="T36" i="8"/>
  <c r="V36" i="8" s="1"/>
  <c r="U36" i="8"/>
  <c r="Z36" i="8"/>
  <c r="AA36" i="8"/>
  <c r="AB36" i="8"/>
  <c r="O35" i="8" l="1"/>
  <c r="T35" i="8"/>
  <c r="V35" i="8" s="1"/>
  <c r="U35" i="8"/>
  <c r="Z35" i="8"/>
  <c r="AA35" i="8"/>
  <c r="AB35" i="8"/>
  <c r="O23" i="8" l="1"/>
  <c r="T23" i="8"/>
  <c r="V23" i="8" s="1"/>
  <c r="U23" i="8"/>
  <c r="Z23" i="8"/>
  <c r="AA23" i="8"/>
  <c r="AB23" i="8"/>
  <c r="O21" i="8"/>
  <c r="T21" i="8"/>
  <c r="V21" i="8" s="1"/>
  <c r="U21" i="8"/>
  <c r="Z21" i="8"/>
  <c r="AA21" i="8"/>
  <c r="AB21" i="8"/>
  <c r="O22" i="8"/>
  <c r="T22" i="8"/>
  <c r="V22" i="8" s="1"/>
  <c r="U22" i="8"/>
  <c r="Z22" i="8"/>
  <c r="AA22" i="8"/>
  <c r="AB22" i="8"/>
  <c r="AB34" i="8" l="1"/>
  <c r="AA34" i="8"/>
  <c r="Z34" i="8"/>
  <c r="U34" i="8"/>
  <c r="T34" i="8"/>
  <c r="V34" i="8" s="1"/>
  <c r="O34" i="8"/>
  <c r="AB33" i="8"/>
  <c r="AA33" i="8"/>
  <c r="Z33" i="8"/>
  <c r="U33" i="8"/>
  <c r="T33" i="8"/>
  <c r="V33" i="8" s="1"/>
  <c r="O33" i="8"/>
  <c r="AB32" i="8"/>
  <c r="AA32" i="8"/>
  <c r="Z32" i="8"/>
  <c r="U32" i="8"/>
  <c r="T32" i="8"/>
  <c r="V32" i="8" s="1"/>
  <c r="O32" i="8"/>
  <c r="AB31" i="8"/>
  <c r="AA31" i="8"/>
  <c r="Z31" i="8"/>
  <c r="U31" i="8"/>
  <c r="T31" i="8"/>
  <c r="V31" i="8" s="1"/>
  <c r="O31" i="8"/>
  <c r="AB30" i="8"/>
  <c r="AA30" i="8"/>
  <c r="Z30" i="8"/>
  <c r="U30" i="8"/>
  <c r="T30" i="8"/>
  <c r="V30" i="8" s="1"/>
  <c r="O30" i="8"/>
  <c r="AB29" i="8"/>
  <c r="AA29" i="8"/>
  <c r="Z29" i="8"/>
  <c r="U29" i="8"/>
  <c r="T29" i="8"/>
  <c r="V29" i="8" s="1"/>
  <c r="O29" i="8"/>
  <c r="AB28" i="8"/>
  <c r="AA28" i="8"/>
  <c r="Z28" i="8"/>
  <c r="U28" i="8"/>
  <c r="T28" i="8"/>
  <c r="V28" i="8" s="1"/>
  <c r="O28" i="8"/>
  <c r="AB27" i="8"/>
  <c r="AA27" i="8"/>
  <c r="Z27" i="8"/>
  <c r="U27" i="8"/>
  <c r="T27" i="8"/>
  <c r="V27" i="8" s="1"/>
  <c r="O27" i="8"/>
  <c r="AB26" i="8"/>
  <c r="AA26" i="8"/>
  <c r="Z26" i="8"/>
  <c r="U26" i="8"/>
  <c r="T26" i="8"/>
  <c r="V26" i="8" s="1"/>
  <c r="O26" i="8"/>
  <c r="AB25" i="8"/>
  <c r="AA25" i="8"/>
  <c r="Z25" i="8"/>
  <c r="U25" i="8"/>
  <c r="V25" i="8"/>
  <c r="O25" i="8"/>
  <c r="AB24" i="8"/>
  <c r="AA24" i="8"/>
  <c r="Z24" i="8"/>
  <c r="U24" i="8"/>
  <c r="T24" i="8"/>
  <c r="V24" i="8" s="1"/>
  <c r="O24" i="8"/>
  <c r="AB20" i="8"/>
  <c r="AA20" i="8"/>
  <c r="Z20" i="8"/>
  <c r="U20" i="8"/>
  <c r="T20" i="8"/>
  <c r="V20" i="8" s="1"/>
  <c r="O20" i="8"/>
  <c r="AB19" i="8"/>
  <c r="AA19" i="8"/>
  <c r="Z19" i="8"/>
  <c r="U19" i="8"/>
  <c r="T19" i="8"/>
  <c r="V19" i="8" s="1"/>
  <c r="O19" i="8"/>
  <c r="AB18" i="8"/>
  <c r="AA18" i="8"/>
  <c r="Z18" i="8"/>
  <c r="U18" i="8"/>
  <c r="T18" i="8"/>
  <c r="V18" i="8" s="1"/>
  <c r="O18" i="8"/>
  <c r="AB17" i="8"/>
  <c r="AA17" i="8"/>
  <c r="Z17" i="8"/>
  <c r="U17" i="8"/>
  <c r="T17" i="8"/>
  <c r="V17" i="8" s="1"/>
  <c r="O17" i="8"/>
  <c r="AB16" i="8"/>
  <c r="AA16" i="8"/>
  <c r="Z16" i="8"/>
  <c r="U16" i="8"/>
  <c r="T16" i="8"/>
  <c r="V16" i="8" s="1"/>
  <c r="O16" i="8"/>
  <c r="AB15" i="8"/>
  <c r="AA15" i="8"/>
  <c r="Z15" i="8"/>
  <c r="U15" i="8"/>
  <c r="T15" i="8"/>
  <c r="V15" i="8" s="1"/>
  <c r="O15" i="8"/>
  <c r="AB14" i="8"/>
  <c r="AA14" i="8"/>
  <c r="Z14" i="8"/>
  <c r="U14" i="8"/>
  <c r="T14" i="8"/>
  <c r="V14" i="8" s="1"/>
  <c r="O14" i="8"/>
  <c r="AB13" i="8"/>
  <c r="AA13" i="8"/>
  <c r="Z13" i="8"/>
  <c r="U13" i="8"/>
  <c r="T13" i="8"/>
  <c r="V13" i="8" s="1"/>
  <c r="O13" i="8"/>
  <c r="AB12" i="8"/>
  <c r="AA12" i="8"/>
  <c r="Z12" i="8"/>
  <c r="U12" i="8"/>
  <c r="T12" i="8"/>
  <c r="V12" i="8" s="1"/>
  <c r="O12" i="8"/>
  <c r="AB11" i="8"/>
  <c r="AA11" i="8"/>
  <c r="Z11" i="8"/>
  <c r="U11" i="8"/>
  <c r="T11" i="8"/>
  <c r="V11" i="8" s="1"/>
  <c r="O11" i="8"/>
  <c r="AB10" i="8"/>
  <c r="AA10" i="8"/>
  <c r="Z10" i="8"/>
  <c r="U10" i="8"/>
  <c r="T10" i="8"/>
  <c r="V10" i="8" s="1"/>
  <c r="O10" i="8"/>
  <c r="AB9" i="8"/>
  <c r="AA9" i="8"/>
  <c r="Z9" i="8"/>
  <c r="U9" i="8"/>
  <c r="T9" i="8"/>
  <c r="V9" i="8" s="1"/>
  <c r="O9" i="8"/>
  <c r="AB8" i="8"/>
  <c r="AA8" i="8"/>
  <c r="Z8" i="8"/>
  <c r="U8" i="8"/>
  <c r="T8" i="8"/>
  <c r="V8" i="8" s="1"/>
  <c r="O8" i="8"/>
  <c r="AB7" i="8"/>
  <c r="AA7" i="8"/>
  <c r="Z7" i="8"/>
  <c r="U7" i="8"/>
  <c r="T7" i="8"/>
  <c r="V7" i="8" s="1"/>
  <c r="O7" i="8"/>
  <c r="AB6" i="8"/>
  <c r="AA6" i="8"/>
  <c r="Z6" i="8"/>
  <c r="U6" i="8"/>
  <c r="T6" i="8"/>
  <c r="V6" i="8" s="1"/>
  <c r="O6" i="8"/>
  <c r="AB5" i="8"/>
  <c r="AA5" i="8"/>
  <c r="Z5" i="8"/>
  <c r="U5" i="8"/>
  <c r="T5" i="8"/>
  <c r="V5" i="8" s="1"/>
  <c r="O5" i="8"/>
  <c r="AB4" i="8"/>
  <c r="AA4" i="8"/>
  <c r="Z4" i="8"/>
  <c r="U4" i="8"/>
  <c r="T4" i="8"/>
  <c r="V4" i="8" s="1"/>
  <c r="O4" i="8"/>
  <c r="AB3" i="8"/>
  <c r="AA3" i="8"/>
  <c r="Z3" i="8"/>
  <c r="U3" i="8"/>
  <c r="T3" i="8"/>
  <c r="V3" i="8" s="1"/>
  <c r="O3" i="8"/>
  <c r="AB2" i="8"/>
  <c r="AA2" i="8"/>
  <c r="Z2" i="8"/>
  <c r="U2" i="8"/>
  <c r="T2" i="8"/>
  <c r="V2" i="8" s="1"/>
  <c r="O2" i="8"/>
  <c r="N51" i="8" l="1"/>
</calcChain>
</file>

<file path=xl/sharedStrings.xml><?xml version="1.0" encoding="utf-8"?>
<sst xmlns="http://schemas.openxmlformats.org/spreadsheetml/2006/main" count="229" uniqueCount="129">
  <si>
    <t>IG</t>
  </si>
  <si>
    <t>BS</t>
  </si>
  <si>
    <t>PÄ</t>
  </si>
  <si>
    <t>GÜ</t>
  </si>
  <si>
    <t>ID</t>
  </si>
  <si>
    <t>Aktiv (0/1)</t>
  </si>
  <si>
    <t>Name</t>
  </si>
  <si>
    <t>Kategorien (x, y, z. ..)</t>
  </si>
  <si>
    <t>Preis zzgl. MwSt.</t>
  </si>
  <si>
    <t>Preis inkl. MwSt.</t>
  </si>
  <si>
    <t>ID Steuersatz</t>
  </si>
  <si>
    <t>Einkaufspreis</t>
  </si>
  <si>
    <t>Artikel-Nr.</t>
  </si>
  <si>
    <t>Lieferant</t>
  </si>
  <si>
    <t>Hersteller</t>
  </si>
  <si>
    <t>EAN 13</t>
  </si>
  <si>
    <t>Beschreibung</t>
  </si>
  <si>
    <t>Stichwörter</t>
  </si>
  <si>
    <t>Meta-Title</t>
  </si>
  <si>
    <t>Meta-Suchworte</t>
  </si>
  <si>
    <t>Bestellbar (0/1)</t>
  </si>
  <si>
    <t>Preis anzeigen (0/1)</t>
  </si>
  <si>
    <t>URLs der Bilder</t>
  </si>
  <si>
    <t>RewriteLink</t>
  </si>
  <si>
    <t>tot. VK</t>
  </si>
  <si>
    <t>tot. EK</t>
  </si>
  <si>
    <t>Airsoft</t>
  </si>
  <si>
    <t>Walther</t>
  </si>
  <si>
    <t>Böker</t>
  </si>
  <si>
    <t>09BO803</t>
  </si>
  <si>
    <t>Lagerbestand</t>
  </si>
  <si>
    <t>09BO802</t>
  </si>
  <si>
    <t>FC-2</t>
  </si>
  <si>
    <t>Accueil,Outdoor plus,Lampen</t>
  </si>
  <si>
    <t>Die Taschenlampen von Böker Plus zeichnen sich durch die Eigenschaften aus, die die Böker Plus-Serie so erfolgreich macht: moderne Materialien, innovative Designs, hoher Nutzwert und ein sehr gutes Preis-Leistungsverhältnis. 
Das hartanodisierte Aluminiumgehäuse verfügt am Lampenende über einen Druckschalter für Moment- oder Dauerlicht. Alle Modelle verfügen mit ihrer Cree R5-LED über zwei Lichtstärken, die sich sehr einfach über eine halbe Drehung des Lampenkopfes (auch bei ausgeschalteter Lampe) anwählen lassen. Das griffige Checkering, der abnehmbare Clip und die einfache Bedienung machen jede Lampe zu einem vielseitigen und zuverlässigen Begleiter im Alltag, Outdoor oder auf der Jagd.
Durch die Bestückung mit zwei Batterien Typ CR123 liefert die FC-2 beeindruckende 224 Lumen maximale Leuchtstärke. Die reduzierte Leuchtstärke (70 Lumen) wird per Drehung des Lampenkopfes geschaltet. Lieferung mit Handschlaufe, abnehmbarem Clip, Ersatzdichtung und Ersatzschalterkappe. Wasserdicht nach IPX-6. Länge 102 mm. Durchm. ca. 22 mm. Gew. 64 g.Artikeltyp: Taschenlampe
Gewicht: 64,0 g
Hersteller / Marke: Böker Plus
Gesamtlänge: 12,5 cm
Griffmaterial: Aluminium</t>
  </si>
  <si>
    <t>FC-3</t>
  </si>
  <si>
    <t>Die Taschenlampen von Böker Plus zeichnen sich durch die Eigenschaften aus, die die Böker Plus-Serie so erfolgreich macht: moderne Materialien, innovative Designs, hoher Nutzwert und ein sehr gutes Preis-Leistungsverhältnis. 
Das hartanodisierte Aluminiumgehäuse verfügt am Lampenende über einen Druckschalter für Moment- oder Dauerlicht. Alle Modelle verfügen mit ihrer Cree R5-LED über zwei Lichtstärken, die sich sehr einfach über eine halbe Drehung des Lampenkopfes (auch bei ausgeschalteter Lampe) anwählen lassen. Das griffige Checkering, der abnehmbare Clip und die einfache Bedienung machen jede Lampe zu einem vielseitigen und zuverlässigen Begleiter im Alltag, Outdoor oder auf der Jagd.
Die taktische Lampe dieser Baureihe, bestückt mit 2 Batterien Typ CR123. Durch den Reflektordurchmesser von 22 mm bietet die FC-3 eine besonders hohe Reichweite. Der abnehmbare Clip und der demontierbare Tactical-Ring machen die Lampe tauglich für Dienst und Alltag ebenso wie für Jagd und Outdoor. Zwei Lichtstärken (322/114 Lumen). Lieferung mit Handschlaufe, Ersatzdichtung und Ersatzschalterkappe. Wasserdicht nach IPX-6. Länge ca. 140 mm. Durchm. Korpus ca. 22 mm. Kopf ca. 32 mm. Gew. 118 g.Artikeltyp: Taschenlampe
Gesamtlänge: 14,0 cm
Hersteller / Marke: Böker Plus
Gewicht: 118,0 g
Griffmaterial: Aluminium</t>
  </si>
  <si>
    <t>3 WATT Taschenlampe LED</t>
  </si>
  <si>
    <t>Jenzi</t>
  </si>
  <si>
    <t>3-WATT LED Taschenlampe Superhell (Ca. 300 Meter) CR5 - High- Brightness LED Taschenlampe mit 3 WATT-LED. Schalter mit Drucktaste, um ein versehentliches Einschalten zu verhindern. Für universelle Einsatzmöglichkeiten mit schwenkbarem Lichtkegel (Zoom) und enormer Leuchtweite (Ca. 300 m). Drei Leuchtstufen: Maximal, Soft LED sowie Blinkmodus. Der LED-Fokus beinhaltet einen variablen Leuchtkegel, um die Größe des Lichtkegels zu optimieren und ein Maximum an Einsatzmöglichkeiten auszunutzen. Erforderliche Batterien: 3 Stück/ 1,5V AAA (Micro) - JENZI Batterie-Nr. 8262 000 3 Light Settings Full - Half - Strobe Focus Ring (Zoom) High-Brightness LED mit super bright 3 Watt LED</t>
  </si>
  <si>
    <t>NC-TM03</t>
  </si>
  <si>
    <t>NiteCore TM03 Taschenlampe</t>
  </si>
  <si>
    <t>Revolution Trading</t>
  </si>
  <si>
    <t>Nitecore</t>
  </si>
  <si>
    <t>Die neue NiteCore TM03 Taschenlampe gehört der "Tiny Monster Reihe" ihres namhaften Herstellers an, erweist sich im Vergleich zu den anderen hier gelisteten Modellen jedoch als überaus kompakter Wegbegleiter. Dank einer verbauten CREE XHP70 LED bringt es dieses extrem hochwertig verarbeitete Modell auf eine hervorragende Lichtausbeute von bis zu 2.800 Lumen, mit einer maximalen Leuchtreichweite von 289 m lassen sich zudem auch längere Wanderwege perfekt ausleuchten. Gesteuert wird die NiteCore TM03 Taschenlampe über einen praktischen Zwei-Wege-Schalter, welcher mittels einer integrierten LED auch die aktuelle Batterie-/Akku-Spannung anzeigen kann, die spezielle ATR Technologie wirkt zudem einer versehentlichen Überhitzung der Haupt-LED entgegen. Besonders interessant: Die TM03 kann auf Wunsch programmiert werden, so dass der Turbo Modus und der Strobe Modus unmittelbar verfügbar sind. Da dieses Modell jedoch ausschliesslich mit einem speziellen 18650 IMR Akku betrieben werden kann, sollte beachtet werden, dass der Turbo Modus auch nur solange genutzt werden kann, wie der Modus-Schalter vom Nutzer gedrückt gehalten wird. 
Spezifikationen NiteCore TM03 Taschenlampe
Marke: NiteCore
Lichtquelle: 1x LED CREE XHP70
Lichtausbeute: max. 2.800 Lumen
Leuchtweite: 289 m
Akku: 1x 18650 IMR Akku
Masse: 15.9 x 4.0 x 2.54 cm
Gewicht: ca. 213 g
Betrieb und Modis
Turbo - 2.800 Lumen (nur so lange, wie der Schalter gedrückt wird)
High - 1.350 Lumen (ca. 45 min.)
Mid - 550 Lumen (ca. 2 Std. 15 min.)
Low - 40 Lumen (ca. 30 Std.)
Strobe
Fertigung (Gehäuse) &amp; Eigenschaften
Gehäuse aus hart anodisiertem Typ III Luftfahrt-Aluminium
wasserdicht gemäss IPX-8
Schlagbeständigkeit: 1,5m
Glaslinse mit Antireflexbeschichtung
ATR-Temperatursteuerung
Memory-Funktion
Intelligente Ladeschaltung
Verpolungsschutz
Schalter: Zwei-Wege-Schalter
Farbe: schwarz
Lieferumfang 
1x NiteCore TM03 Taschenlampe
1x Holster
1x NiteCore IMR18650D Akku</t>
  </si>
  <si>
    <t>Taschenlampe Niteye BC25 XM-L2</t>
  </si>
  <si>
    <t>Niteye</t>
  </si>
  <si>
    <t>Energieversorgung: 2x CR123 bzw. 18650er Akku
Leuchtmittel: XM-L T6 LED
Helligkeit: bis 650Lumen nach ANSI Standard
Leuchtstufen: zwei schaltbar durch Drehen des LED-Kopfes
Abmessungen: Länge: 14,3cm Durchmesser: 3,4cm Gewicht: 129 gramm (ohne Batterie)</t>
  </si>
  <si>
    <t>Taschenlampe Niteye BC40 XM-L2</t>
  </si>
  <si>
    <t>Lumen : 830
Länge : 225mm
Gewicht : 380g
Akku ist im Lieferumfang nicht inbegriffen</t>
  </si>
  <si>
    <t>Taschenlampe Fenix TK51 XM L2</t>
  </si>
  <si>
    <t>Fenix</t>
  </si>
  <si>
    <t>Betriebsart: Akkubetrieb, Leuchtmittel: LED, Wasserfest, Max. Laufzeit: 420 h, Leuchtweite: 425 m, Lichtstärke: 1800 lm, Gewicht: 430 g</t>
  </si>
  <si>
    <t>Taschenlampe Fenix UC30 XM-L2</t>
  </si>
  <si>
    <t>Sie erhalten die Fenix UC30 LED Taschenlampe
inklusive Fenix 2600mAh 18650 Li-ion Akku
Die LED-Taschenlampe Fenix UC30 ist eine kompakte und leistungsstarke Taschenlampe mit bis zu 960 Lumen Helligkeit. Sie wird, ein hochwertiger LiIon Akku ist bereits im Lieferumfang enthalten, wie ein Handy über den Micro-USB-Anschluss aufgeladen. Den Lieferumfang runden Gürtelholster, Handschlaufe und USB-Kabel ab. Die Bedienung erfolgt einfach und unkompliziert über den Schalter am Lampenkopf: Lang drücken zum Ein- und Ausschalten, kurz Drücken zum Wechsel der Helligkeitsstufe. Dauerhaft drücken für den Stroboskop zur Selbstverteidigung
mit einer Cree XM-L2 U2 LED
bis zu 50.000 Stunden Lebensdauer der LED
5 Leuchtmodi, 960 Lumen (1 Std. 10 Minuten)*
400 Lumen (3 Std.), 110 Lumen (11 Std.)
10 Lumen (120 Std), Strobe = 960 Lumen
Leuchtweite: max. 204 Meter, Intensität: max. 10.404cd
Nutzt einen 18650 LiIon Akku oder 2 3V CR123A Lithium Batterien
Laden über Micro-USB-Kabel, 130mm (Länge) x 25.4mm (Durchmesser)
Gewicht: 126 Gramm ohne Batterien
digital geregelt für weitgehend konstante Helligkeit
Warnung bei niedriger Spannung zum Batteriewechsel
Schutz vor falsch herum eingelegten Batterien, Überhitzungsschutz
giffiges Anti-Roll Design, hochwertige Type III HA-Beschichtung
wasserdicht gem. IPX-8, speziell beschichtete Linse
seitlicher Schalter am Kopf zum Einschalten, Helligkeit und Strobe
*: Im Turbomodus schaltet die UC30 nach 5 Minuten Betrieb in den High Modus um, die Laufzeitangabe ist daher ein akkumulierter Wert. Die Brenndauern sind gemessen mit dem 2.600 mAh Akku. Ca. 30% mehr Brenndauer bei Nutzung eines 3.400 mAh Akkus.
Lieferumfang: Fenix UC30, USB Ladekabel, Holster, Lanyard, Ersatz-O-Ring</t>
  </si>
  <si>
    <t>NC-MH27</t>
  </si>
  <si>
    <t>Nitecore MH27 Taschenlampe</t>
  </si>
  <si>
    <t xml:space="preserve">Mit der MH27 kommt eine sehr vielseitig einsetzbare Lampe von NITECORE auf den Markt.
Die CREE XP-L-HI V3 LED leistet 1000 Lumen, die MH27 erreicht damit eine Leuchtweite von 462 Meter. Das integrierte Ladegerät und die drei farbeigen LED´s (rot, grün, blau), machen die NITECORE MH27 nicht nur für Jäger zu einer besonders interessanten Taschenlampe. Die Steuerung erfolgt
über zwei Schalter am Lampenkopf.
Leistung und Laufzeit (1 x 18650 Li-Ion Akku mit 3400mAh)
Turbo (1000 Lumen) für ca. 1 Stunde
High (250 Lumen) für ca. 6 Stunden 15 Minuten
Mid (55 Lumen) für ca. 28 Stunden
Ultralow (1 Lumen) für ca. 708 Stunden
Rot (13 Lumen) für ca. 28 Stunden
Grün (19 Lumen) für ca. 28 Stunden
Blau (3 Lumen) für ca. 28 Stunden
Strobe
SOS
Beacon 
Lieferumfang: Nitecore MH27, USB-Ladekabel, Holster, Tactical-Ring, Handschlaufe,
Ersatz-Endkappengummi, Ersatz-Ladeanschlussabdeckung, Ersatzdichtring, Li-Ion Akku 18650/2600mAh
Technische Daten 
Länge: 154 mm 
Kopfdurchmesser: 40 mm 
Gehäusedurchmesser: 25,4 mm 
Gewicht ohne Batterien: 170 g 
Leuchtmittel: CREE XP-L HI V3 LED
Leuchtstärke: max. 1000 Lumen 
Leuchtweite: ca. 462 m 
Batterien: 1 x 18650 Li-Ion Akku, 2 x 16340 (RCR123) Li-Ion Akku, 2 x CR123A Lithium Batterien 
Verpolungsschutz 
Linse aus Mineralglas mit AR-Beschichtung
spritzwassergeschützt nach IPX-8 
Gehäuse aus Luftfahrt-Aluminium HAIII anodisiert 
Batteriestandsanzeige 
Titan beschichteter Clip 
</t>
  </si>
  <si>
    <t>AR10 XM-L2 U2</t>
  </si>
  <si>
    <t>Klarus</t>
  </si>
  <si>
    <t>USB Charging Cable included.
Ein Akku ist im Lieferumfang inbegriffen.
Batterien: 1 x 18650 (mitgeliefert)Lumen: 1080
Batterien: 1 x 18650 (mitgeliefert)
Länge: 150 mm
Gewicht: 170 g
Versandgewicht: 200 g</t>
  </si>
  <si>
    <t>CH1 Powerbank &amp; Charger</t>
  </si>
  <si>
    <t>Für Li-ion 10440 14500 16340 18490 18650 26650 und Ni-MH: AA AAA C Batterien.</t>
  </si>
  <si>
    <t>NC-SC4</t>
  </si>
  <si>
    <t>NiteCore SC4 Schnelladegerät 3A</t>
  </si>
  <si>
    <t>Der Nitecore SC4 ist ein intelligentes 4-Schacht-Ladegerät, welches fast alle Li-Ion Akkutypen, NiMH, NiCd und LiFEPO4 Akkus laden kann. Der SC4 verfügt über ein hochauflösendes LCD-Farbdisplay. Der Ladestrom kann individuell, je nach Akkutyp, eingestellt werden. Für einen Ladeschacht sind max. 3A, bei allen 4 Schächten zusammen max. 6A Ladestrom möglich.
Eingangsspannung:
AC 100-240 V  50/60 Hz   1A  (MAX)  40W                                                                                    DC  12V  3A
Ausgangsspannung:
Ladeschacht: 4,35V ± 1% / 4,2V ± 1% / 3,7V ± 1% /1,48V ± 1%
USB: V ± 5%   2,1 A
Ausgangsstrom:
3A x 2 MAX  1,5A x 4
verwendbar für:
Li-Ionen / IMR / LiFePO4:
10440, 10500, 12340, 12500, 12650, 13450, 13500, 13650, 14350, 14430, 14500, 14650, 16500, 16340(RCR123), 16650, 17350, 17500, 17650, 17670, 18350, 18490, 18500, 18650, 22500, 22650, 25500, 26500, 26650
Ni-MH (NiCd): AA, AAA, AAAA, C, D      
Maße: 165 mm × 110 mm × 45 mm 
Gewicht: 385 g (ohne Anschlusskabel und Batterien)
- bis zu 3A Ladestrom in einem Ladeschacht
- manuell wählbare Ladestrom Optionen: 300mAh - 3000mAh
- kompatibel mit 1,2V, 3,7V, 4,2V und 4,3V Akkus
- hochauflösendes Farb-LCD zur Anzeige der Ladeparameter in Echtzeit
- eingebaute Stromsparfunktion
- optimiertes Ladeprogramm für IMR Akkus
- automatische Erkennung des Akku-Typs, Auswahl der Ladespannung und des Ladestroms
- manuelle Einstellmöglichkeit der Ladespannung für LiFePO4 Akkus (3,7V) und Li-Ionen Akkus (4,3V)
- automatische Ladestromauswahl basierend auf der Batteriekapazität
- jeder Ladeschacht lädt und überwacht individuell und eigenständig
- integrierter USB-Anschluss kompatibel mit allen USB-Geräten
- automatischer Ladestopp nach Abschluss des Ladevorgangs
- Verpolungsschutz und Kurzschluss-Prävention
- Reaktivierung von Li-Ionen-Akkus
- automatische zeitabhängige Ladeabschaltung
- Temperaturüberwachung zur Verhinderung von Überhitzungsschäden
- automatische Erkennung des Innenwiderstands
- Gehäuse aus hitzebeständigem Kunststoff (feuerhemmend)</t>
  </si>
  <si>
    <t>NC-F1</t>
  </si>
  <si>
    <t>Nitecore F1 FlexBank</t>
  </si>
  <si>
    <t>Details
Das Nitecore F1 FlexBand ist ein sehr leichtes und kompaktes Ladegerät zum Laden aller gängigen Li-Ion Akkutypen. Über eine Micro-USB-Buchse kann der F1 an einen USB-Port angeschlossen werden (Micros-USB-Kabel nicht im Lieferumfang). Das Besondere an dem F1 FlexBand ist, dass man an ihn ein weiteres USB-Gerät, z.B. ein Smartphone anschließen kann und ihn dann zusammen mit dem geladenen Akku als Powerbank nutzen kann.
Drei seitlich angebrachte LED´s zeigen den Ladefortschritt und den Ladezustand des Akkus an. 
Lieferung ohne Akkus!
Lieferbar ab 01.06.16
Lieferumfang: Nitecore F1 FlexBand, Gummi-Halteband
Technische Daten
Maße: ca. 88 x 24 x 30 mm
Gewicht: ca. 31 g
Eingangsspannung: DC 5V, &gt;/= 500mA
Ausgangsspannung: 4,2 V +/- 1%(slot), 5V +/- 5 % USB, 1000mA Max(slot)/ 1000mA USB
Ladestrom: max. 1 A
Kompatibel mit folgenden Li-Ion Akkus: 10440, 14500, 16340, 17335, 17500, 18490, 17670, 18650, 26650</t>
  </si>
  <si>
    <t>NC-UM2</t>
  </si>
  <si>
    <t>Nitecore UM2 USB-Ladegerät</t>
  </si>
  <si>
    <t>Details
Der Nitecore UM2 ist ein intelligenter, QC 2.0 kompatibler USB-Lader mit zwei Ladeschächten und LCD-Display.
Mit dem UM2 können Li-Ion, Li-Ion IMR, NiMH/NiCd und LiFePO4 Akkus geladen werden. Das Nitecore UM2 Ladegerät erkennt den Akkutyp, ermittelt
den Akkuzustand, den Ladezustand des Akkus und legt automatisch das richtige Ladeverfahren fest. 
Als Standard-Ladestrom sind 500mA voreingestellt. Dieser kann aber manuell, je nach Akkutyp, auf bis zu 1A und im QC-Modus auf bis zu 1,5A erhöht werden.
Tiefentladene Li-Ion Akkus können im UM2 reaktiviert werden (Hierzu Bedienungsanleitung beachten).
Technische Daten
Eingangsspannung: DC 5V/2A 9V/2A 18W (Max)
Ausgangsspannung: 4.35V±1% / 4.2V±1% / 3.7V±1% / 1.48V±1%
QC Modus: 1,500mA*2 (MAX)
Standard Modus: 1,000mA*2 (MAX)
Kompatible mit folgenden Akkutypen
Li-Ion, IMR, LiFePO4: 10440, 14500, 14650, 16500, 16340(RCR123), 16650, 17350, 17500, 17650, 17670, 17700, 18350, 18490,
18500, 18650, 18700, 20700, 21700, 22500, 25500, 26500, 26650, 26700
Ni-MH/Ni-Cd: AA, AAA, AAAA, C, D
Abmaße: 152 mm×73 mm×40 mm
Gewicht: 148,3 g (ohne Kabel)</t>
  </si>
  <si>
    <t>NC-MT21C</t>
  </si>
  <si>
    <t>NiteCore MT21C</t>
  </si>
  <si>
    <t>Die Nitecore MT21C zeichnet sich durch ihren um 90° schwenkbaren Lampenkopf und die damit verbundenen
vielfälltigen Einsatzmöglichkeiten aus.
Die verbaute CREE XP-L HD V6 LED leistet maximal 1000 Lumen. Bedient wird die MT21C durch den Frontschalter am Lampenkopf.
Der Batteriedeckel ist magnetisch, dies erhöht die Einsatzmöglichkeiten.
Leistung und Laufzeit (1 x 18650 Li-Ion Akku 3400mAh)
Turbo (1000 Lumen) für ca. 1 Stunde*
High (400 Lumen) für ca. 3 Stunden 45 Minuten
Mid (190 Lumen) für ca. 7 Stunden 30 Minuten
Low (50 Lumen) für ca. 25 Stunden
Ultra-Low (1 Lumen) für ca. 700 Stunden
Strobe
Beacon
SOS
*Die Laufzeit im Turbo-Modus ist ein errechneter, theoretischer Wert.
Lieferumfang: Nitecore MT21C, Clip, Ersatzdichtring, Holster, Lanyard
Technische Daten
Länge: ca. 131 mm
Durchmesser: ca. 25,4 mm
Gewicht ohne Batterien: ca. 103,5 g
Leuchtmittel: CREE XP-L HD V6
Leuchtweite: ca. 184 m
Batterien: 2 x CR123A Lithium Batterien od. 2 x RCR123 od. 1 x 18650 Li-Ion Akku
Überhitzungsschutz
Gehäuse aus Luftfahrtaluminium HAIII anodisiert
Linse aus Mineralglas
Verpolungsschutz
wasserdicht nach IPX-8
magnetische Endkappe</t>
  </si>
  <si>
    <t>NC-MH25S</t>
  </si>
  <si>
    <t>NiteCore MH25S - 1'800 Lumen USB</t>
  </si>
  <si>
    <t>Die Nitecore MH25S gehört zur Multitask Hybrid Serie von Nitecore. Die MH25S ist eine kompakte und leistungsstarke LED-Taschenlampe und der Nachfolger der beliebten MH25GT. Die Nitecore MH25S ist ausgestattet mit einer Luminus SST-40-W LED (max. 1800 Lumen) und einem integrierten Ladegerät (über USB-C). Die MH25S erreicht dank ihres Kopfdurchmessers von 40 mm eine Leuchtweite von über 500 Meter. Ausgestattet mit einem 21700er Akku ist eine Brenndauer von bis zu 1500 Stunden im Ultralow Mode möglich. Wie gewohnt verfügt die MH25S über einen taktischen Endschalter und ein seitlichen Mode-Schalter. Für den Nutzer stehen zwei unterschiedliche, vorwählbare Modi zur Verfügung; der Tactical und der Daily Mode.
Leistung und Laufzeit (1 x 21700 Li-Ion Akku 5000mAh)
Turbo (1800 Lumen) für ca. 45 Minuten*
High (1050 Lumen) für ca. 3 Stunden
Mid (300 Lumen) für ca. 8 Stunden 30 Minuten
Low (50 Lumen) für ca. 48 Stunden
Ultalow (1 Lumen) für ca. 1500 Stunden
Strobe
SOS
Beacon
*Die Brenndauer im Turbo Modus wurde ohne Temperaturregelung ermittelt.
Lieferumfang: Nitecore MH25S, Li-Ion Akku (21700/5000mAh), USB-C-Ladekabel, Holster, Clip, Batteriemagazin, Handschlaufe, Ersatzdichtring
Eigenschaften
Batterien: 1 x 21700 Li-Ion Akku oder 1 x 18650 Li-Ion Akku oder 2 x CR123A Lithium Batterien (nicht ladbar!) oder 2 x RCR123 li-Ion Akku (nicht ladbar!)
integriertes Ladegerät
Verpolungsschutz
Batteriestandsanzeige
ATR Temperatursteuerung
Gehäuse aus Luftfahrtaluminium HAIII anodisiert
wasserdicht nach IP68
Länge (mm):	156,9
Kopfdurchmesser:	40
Gehäusedurchmesser (mm):	26
Gewicht (ohne Batterien/Akku) (g):	130,7
Leuchtmittel 1:	Luminus SST-40-W LED
Leuchtweite max. (m):	504
Spotintensität (cd):	63500
Stromversorgung:	21700 Li-Ion Akku, 5000mAh
Leuchtleistung max.:	1800 Lumen</t>
  </si>
  <si>
    <t>NC-P20iX</t>
  </si>
  <si>
    <t>NiteCore P20iX - 4000 Lumen</t>
  </si>
  <si>
    <t>Die Nitecore P20iX ist eine Variante der beliebten P20i. Die P20iX ist eine weiteres Modell die Precise-Serie konzipiert für den taktischen Einsatz, robust, kompakt und leuchtstark. Die verbaute 4 Stück CREE XP-L2 V6 LEDs leisten maximal 4000 Lumen.Als Energiequelle dient der P20iX ein NL2150HPi Li-Ion Akku mit 5000mAh Kapazität, dies sorgt für eine lange Brenndauer. Der überarbeitete STROBE READY Button ermöglicht ein schnelles Umschaltenzwischen den Leuchtstufen und dem Strobe Mode. Auch die Leuchtweite von 221 Metern ist beeindruckend. Der mitgelieferte Batteriekäfig ermöglicht auch die Verwendung von 2 x CR123A Lithium Batterien.
Leistung und Laufzeit (21700 Li-Ion Akku mit 5000mAH)
Turbo (4000 Lumen) für ca. 30 Minuten*
Higher (17000 Lumen) für ca. 2 Stunden
High (850 Lumen) für ca. 2 Stunden 30 Minuten
MID /300 Lumen) für ca. 7 STunden 15 Minuten
Low (50 Lumen) für ca. 38 Stunden
Ultralow (2 Lumen) für ca. 350 Stunden
Strobe
*Die Laufzeit im Turbo-Modus wurde ohne Temperatursteuerung ermittelt!
Lieferumfang: Nitecore P20iX, 21700 Li-Ion Akku TYP NL2150HPi mit 5000mAh, Tactical Holster NTH20, Clip, Lanyard, Ersatz-Dichtring, Batteriekäfig, USB-C-Ladekabel
Eigenschaften
STROBE READY Buttom
Random Strobe mit sich ändernder Frequenz
USB-C-Ladeport
ATR-Temperatursteuerung
Batteriestandanzeige
Glasbrecher mit Keramikeinlagen
Wasserdicht nach IP68
Länge	141mm
Kopfdurchmesser mm:	31mm
Gehäusedurchmesser (mm):	26mm
Gewicht (ohne Batterien/Akku) (g):	116gr
Leuchtmittel 1:	4 x CREE XP-L2 V6 LEDs
Leuchtweite max. (m):	221
Spotintensität (cd):	12200
Stromversorgung:	1 x 21700 i-Akku oder 2 x CR123A Lithium Batterien
Leuchtleistung max.:	4000 Lumen</t>
  </si>
  <si>
    <t>E099GA00</t>
  </si>
  <si>
    <t>Stirnlampe Petzl Actik schwarz - 450 Lumen</t>
  </si>
  <si>
    <t>Rapala Fishco</t>
  </si>
  <si>
    <t>Petzl</t>
  </si>
  <si>
    <t>Die ACTIK-Stirnlampe verfügt über eine Leuchtkraft von 350 Lumen. Die Lampe mit mehreren Lichtkegeln ist ideal für dynamische Outdoor-Aktivitäten wie Bergsteigen, Joggen, Trekking oder Biwakieren geeignet. Das rote Licht erhält die Dunkeladaptation des Auges und verhindert, dass andere Personen in der Gruppe geblendet werden. Durch das reflektierende Kopfband ist der Benutzer im Dunkeln gut sichtbar.
Die ACTIK ist eine HYBRID-Lampe, die ebenfalls mit dem CORE-Akku kompatibel ist.
Hybrid Concept - die Wahl der Energiequelle
Das HYBRID-Konzept der neuen Petzl-Stirnlampen ermöglicht es, die Lampen ohne Adapter sowohl mit dem CORE-Akku als auch mit 3 AAA/LR03-Batterien zu betreiben.Vorteile
Leicht, kompakt und leistungsstark: 350 Lumen bei einem Gewicht von 86 g.
Zwei unterschiedliche Lichtkegel (breit oder kombiniert) und mehrere Leuchtstufen für weisses Licht gewährleisten eine leistungsstarke Beleuchtung bei dynamischen Outdoor-Aktivitäten: Nah- oder Fernsicht und schnelle Fortbewegung.
Rotes Licht, das die Dunkeladaptation des Auges erhält und verhindert, dass andere Personen in der Gruppe geblendet werden.
Bedienungsfreundlich und praktisch:
ein einziger Schalter für eine einfache, schnelle Wahl der Leuchtstufe oder der Lichtfarbe
HYBRID CONCEPT: Die mit drei Batterien gelieferte ACTIK ist ebenfalls mit dem CORE-Akku kompatibel
reflektierendes Kopfband, damit der Benutzer im Dunkeln gut sichtbar ist
abnehmbares, waschbares Kopfband
die LOCK-Funktion verhindert ein unbeabsichtigtes Einschalten während des Transports und bei Nichtbenutzung der Lampe
Kompatibel mit den Befestigungssystemen zum Anbringen der Lampe an allen Helmtypen oder an einem Fahrrad.
Technische Daten
Leuchtkraft: 350 Lumen (ANSI/PLATO FL 1)
Lichtkegel: breit oder kombiniert
Stromversorgung: 3 AAA/LR03-Batterien (enthalten) oder CORE-Akku (als Zubehör erhältlich)
Lichtfarbe	Leuchtstufen	Lichtmenge	Leuchtweite	Leuchtdauer	Reservemodus
weiss	MAX BURN TIME	6 lm	8 m	120 Std.	-
 	STANDARD	100 lm	45 m	12 Std.	30 Std.
 	MAX POWER	350 lm	80 m	2 Std.	40 Std.
rot	Nahbereich	2 lm	5 m	60 Std.	-
Blinklicht sichtbar in 700 m Entfernung während 400 Std.
Wasserdicht: IPX4 (wetterfest)
Gewicht: 86 g</t>
  </si>
  <si>
    <t>E095BA00</t>
  </si>
  <si>
    <t>SYTONG HT-66 / NV850 GERMAN-EDITION mit 12 mm Objektiv</t>
  </si>
  <si>
    <t>Sytong</t>
  </si>
  <si>
    <t>SYTONG HT-66 / NV850 GERMAN-EDITION mit 12 mm Objektiv / ohne zuschaltbaren Absehen und Richt-Zielpunktlaser ( in Deutschland durch das BKA-Waffenbehörde erlaubt ) Art. Nr. Art. Nr. 2106612
Alle SYTONG NIGHT VISION HT-66 und HT-660 GERMAN EDITION GERÄTE haben immer die aktuellste Geräte SOFWARE-VERSION im Gerät Installiert.
WICHTIGER SOFTWARE HINWEIS: 
Ab Sofort sind alle  SYTONG HT-66 GERMAN EDITION derGENERATION II. mit neuer SOFTWARE und  zusätzlich mit dem begehrten NACHTSICHT grün Modus ausgestattet.
PRODUKTINFOMATION
Das neue SYTONG HT-66 / NV 850 , ist ein neuartige DUAL -USE -Nachssatz-Nachtsicht-Gerät für Zielfernrohre und die Geräte- Funktion ist ähnlich wie beim NV-007A , nur das SYTONG HT 66 / NV 850 hat technische Vorteile und ist eine neue Generation als DUAL – USE Gerät am Markt.
Bei den Geräte-abmaßen und beim Gewicht des neuen SYTONG HT-66 / NV850 sind diese gleich wie beim PARD NV-007A das gleiche gilt für das Adapter- Aufnahme Verschluss-System, also gleiche Adapteraufnahme wie beim PARD Gerät NV 007 oder NV007A.
Die Adapteraufnahme-Platte am SYTONG HT -66 / NV 850 ist so aufgebaut , das auch die am Markt befindlichen PARD 007 A Adapter das bedeutet, alle Geräte Adapter für Zielfernrohre vom PARD – 007 oder 007A / NV 850 sind passgenau am SYTONG HT -66 und passen und umgekehrt genauso am PARD -007 oder 007A/ NV850.
SYTONG HT-66 / NV 850 GERÄTE-VORTEILE gegenüber Geräte Mitbewerber am Markt
SYTONG hat am HT-66 einen SONY CMOS-Sensor verbaut, es ist das neue HIGH LIGHT am neuen SYTONG HT-66 DUAL USE GERÄT und bietet folgende Vorteile gegenüber Mitbewerber Geräten ( wie zum Beispiel beim PARD007 / 007A ) am Markt.
Ein Saubere und wenig verpixelte Bild-Wiedergabe,mit einer höheren Reichweite
Keine Bild-Verzögerungen beim Schwenken des SYTONG HT-66
Ein besserer verbauter IR-STRAHLER trotz gleicher technischer Parameter des IR -STRAHLER von NV 850
Der IR-STRAHLER am HT -66 ist stärker fokussierbar, dadurch erhöht sich auch die Reichweite vom IR- Lichkegel.
Der verbaute SONY CMOS Sensor kann das Bild viel schneller her runter regulieren, sobald der IR-STRAHLER betätigt und eingeschaltet wird, hierdurch erfolgt auch keine Augen- Überblendung.
Es bleibt auch eine Augen- Überblendungen bei eingeschalteten und fokussierten IR-LICHT aus , dies Umstand macht es auch beim Einsatz des SYTONG HT-66 im Waldbestand angenehmer
Ein weitere Vorteil bietet der HT- 66 OLED Bildschirm, dieser lässt sich per Knopfdruck bis auf 10% her herunter-dimmen, also von „extra Dunkel “l bis „extra Hell“. (Bei PARD Geräten geht das nur über das Menüführung und dann leider nur bis auf maximal 50%)
Weiter hat das SYTONG einen Integrierten Gyrometer-Sensor mit einer Dreh- und Neigungswinkelanzeige wird auf dem OLED- DISPLAY angezeigt.
Farbe am OLED DISPLAY umschaltbar , bei TAG farbige Bildanzeige, bei Nacht umschaltbar auf schwarz - weiß Bildanzeige.
Beim SYTONG HT- 66 sind alle Gerätetastaturen lautlos bedienbar
Die Schussfestigkeit liegt beim SYTONG HT-66 bis zu 6000 Joule , getestet mit einen Kaliber von 9,3 mm und 300 Win Mag, man kann eigentlich auch bei ca. 7000 Joule anknüpfen.
Beim SYTONG HT-66 hat der Hersteller selbst schon einen eigene Geräte App für eine Livebild-Übertragung mit direkten Zugriff auf bereits früher gespeicherte Fotos und Videos, die man direkt auf das Smartphone her runter laden kann.
Einen weiteren Vorteil bieten die HT-66 Gerätetastaturen ( HT-66 Gerätebedienknöpfe) diese wurden von vornherein besser und platzierter am SYTONG HT-66 angeordnet was die Bedienung des HT-66 vereinfacht, und das vor allem auch im Handbetrieb des HT-66.
Das wechseln der SD Karte am SYTONG HT-66 lässt sich viel einfacher wechseln, als bei Mitbewerber Geräten wie PARD
Das SYTONG HT-66 besitzt einen USB-C Anschluss
Zum Gewicht des HT-66 es wiegt nur 250g
Beim SYTONG HT-66 handelt es sich um ein DUAL-USE Nachsatz-Gerät , es verändert nicht bei einer Montage am ZF die Treffpunkt-Lage des Zielfernrohres, daher muss das HT-66 nicht eingeschossen werden.
Das Anbringung des HT-66 am Okular des ZF hat gegenüber der Anbringung auf dem Objektiv des ZF einen besonderen Vorteil, denn bei letzterer würden die beschichteten Linsen der Optik für mehr Transmission-Verlust sorgen. So aber ist das Wild auch bei schlechten Sichtverhältnissen gut zu erkennen und anzusprechen.
Dank des Dioptrien-Ausgleichs beim HT-66 ist das SYTONG HT-66 auch für Brillenträger geeignet, Schießen ohne Brille möglich
Das HT-66 besitzt ein fokussierbares 16-mm-Objektiv und sorgt somit für gestochen scharfe Bilder auf unterschiedlicher Distanzen
SYTONG HT-66 ist für den Einsatz zu Wildbeobachtung etc. bei Tag und Nacht geeignet
Dank Video- und Foto-Aufnahmemöglichkeiten können Sie Ihre nächtlichen Wildbeobachtungen oder Jagdmomente zum späteren Anschauen dokumentieren und auf der 32 GB Micro-SD-Karte speichern, diese ist aber leider nicht im Lieferumfang enthalten und muss als Zubehör zugekauft werden
Live-Bild-Übertragung mit Ihrem Endgerät durch Verbindung mit WLAN möglich – Anzeigen und Speichern der Live-Aufnahme auf Telefon oder Tablett erfolgt über eine spezielle App (IOS- und Androide-kompatibel).
Es ist beim HT-66 kein zusätzlicher IR-STRAHLER nötig, der bereits integrierte, in 3 Stufen einstellbare, fokussierbare IR-STRAHLER bietet eine klare Sicht von 240 - 400 m möglich.
Dank des mitgelieferten Okular-Werksadapters von 45 mm , lässt sich das Gerät HT-66 über einen Bajonettverschluss in Sekundenschnelle durch eine Handumdrehung schussfest am Zielfernrohr montieren und demontieren. Werks-Adaptergrößen von Größer 38,8- mm - 48 mm jederzeit verwendbar.
NEU: - alle SYTONG HT -66 und HT-660 GERMAN EDITION GERÄTE haben eine BILD in BILD Funktion installiert
Die Vorteile eine Direkt-Kaufs zu einem SYTONG HT-66 bei uns sind:
Werksgarantie von 2 Jahren für alle elektronischen Teile an SYTONG GERÄTE PRODUKTEN
Hinweis : Nicht in der Werksgarantie sind eingeschlossen, sind unsachgemäße Behandlung der SYTONG Geräte , Beschädigung durch äußere Einflüsse, Verlust von Geräteteilen etc.
Serviceleistungen an SYTONG GERÄTEN direkt bei uns im Hause
Ersatzteilkauf von SYTONG Gerätezubehörteile
Umfangreiches Original Zubehör für SYTONG Geräte
Geräte - Adapter Kauf direkt bei uns als Hersteller von Geräte - Adaptern und Zubehör
Im Lieferumfang eines SYTONG HT-66 GERMAN-EDITION sind enthalten :
1 Stück SYTONG HT-66 / NV 850 DUAL- USE mit 12 mm Objektiv und OLED Display
1 Stück ALU - Werksadapter in Größe 45,0 mm ( Hinweis bei Bedarf Werks- Adapter auch austauschbar ) also in jeder bei uns am Lager vorrätiger Adaptergröße )
1 Stück Stahl- Schnellverschluss – Schraube für ALU- Werksadapter geeignet
1 Stück SYTONG 18650-Li-Ion Standard-Akku 3200 mAh
1 Stück XSTAR USB-Ladegerät mit Ladestands-Anzeige für 18650-Li-Ion Akkus
2 Stück Dichtungsringe für Geräte Bajonett-Aufnahme und Geräte Batterie / Akkufach Deckel
1 Stück Ausgleichsklebeband für Okular (für Durchmesser Anpassung ADAPTER und Schutz vor Kratzern am ZF.
1 Stück HT-66 Baumwoll- Geräte Aufbewahrungsbeutel
1 Stück USB-Ladekabel / Datenkabel
1 Satz Inbusschlüssel für Adapter-Montage etc.
1 Stück Reinigungstuch
1 Stück Stativ-Adapter
1 Stück Stahl-Schnellverschluss-Schraube für Standard -Adapter
HT-66 Geräte - Bedienungsanleitung in deutscher und englischer Sprache
Garantie und Service Geräte Karte
Original Verkaufsrechnung mit 2 Jahre Gewährleistung ab Verkaufsdatum
TECHNISCHE GERÄTE DATEN zum SYTONG HT-66 / NV850 DUAL- USE - OLED:
Rückstoßkraft (Schockfestigkeit bei Beschuss)
bis ca. 6000 Joule
Optische Vergrößerung
2x
Digitale Vergrößerung (Zoom)
1x - 3,5x
Sony CMOS-SENSOR
Ja
Objektiv im Ø
12 mm
Seh-Feld (100m)
ca. 32 m
Fokussierbereich (cm)
3 - unendlich
Größe LxBxH (mm)
106x47x97
Netto-Gewicht
250 g
Foto Auflösung (Pixel)
2608x1944 (5 Megapixel) 
Video Auflösung (Pixel)
1920x1080 (Full HD)
Tag und Nachtsicht tauglich
Ja
Bildrate (Bilder pro Sekunde)
30 fps
Video-Format
MP4
Video-Typ
AVI
OLED Bildschirm mit Auflösung (Okular)
1024x768
Geeignet für Okular im Ø
25,0-48,0 mm
Dioptrien-Verstellung möglich
+5 ~ -5
Leistung der integrierten IR-Lampe
5 w
IR- STRAHLER Wellenlänge
850 nm
Licht-Stufen des Infrarotstrahlers
3
Infrarotstrahler fokussierbar
Ja
Infrarotstrahler Beleuchtungsreichweite
ca.280 m
Speicherkarte
Micro-SD Max. 32 GB
WLAN (WiFi)- Schnittstelle / App
Ja
Anschlüsse
USB Typ C
Akkulaufzeit ( je nach Akku-Geräteauslastung )
4 - 8 Stunden 
Akku-Typ
18650
Temperaturbereich
-20 °C bis +50 °C
Geräte Farbe
Schwarz matt
Live-Bildübertragung auf Smartphone oder Tablett
Ja
Menü in mehreren Sprachen wählbar (auch in Deutscher Sprache )
Ja
Ein Stativ-Gewinde ist im Gerät HT-66 vorhanden
Ja
Zuschaltbarer / regulierbarer roter Richtlaser
NEIN nicht im Gerät vorhanden
Zuschaltbares Kreuz-Absehen im Gerät selbst
NEIN nicht im Gerät vorhanden
Es bleibt auch eine Augen- Überblendungen bei eingeschalteten und fokussierten IR-LICHT aus , dies Umstand macht es auch beim Einsatz des SYTONG HT-66 im Waldbestand angenehmer
Ein weitere Vorteil bietet der HT- 66 OLED Bildschirm, dieser lässt sich per Knopfdruck bis auf 10% her herunter-dimmen, also von „extra Dunkel “l bis „extra Hell“. (Bei PARD Geräten geht das nur über das Menüführung und dann leider nur bis auf maximal 50%)
Weiter hat das SYTONG einen Integrierten Gyrometer-Sensor mit einer Dreh- und Neigungswinkelanzeige wird auf dem OLED- DISPLAY angezeigt.
Farbe am OLED DISPLAY umschaltbar , bei TAG farbige Bildanzeige, bei Nacht umschaltbar auf schwarz - weiß Bildanzeige.
Beim SYTONG HT- 66 sind alle Gerätetastaturen lautlos bedienbar
Die Schussfestigkeit liegt beim SYTONG HT-66 bis zu 6000 Joule , getestet mit einen Kaliber von 9,3 mm und 300 Win Mag, man kann eigentlich auch bei ca. 7000 Joule anknüpfen.
Beim SYTONG HT-66 hat der Hersteller selbst schon einen eigene Geräte App für eine Livebild-Übertragung mit direkten Zugriff auf bereits früher gespeicherte Fotos und Videos, die man direkt auf das Smartphone her runter laden kann.
Einen weiteren Vorteil bieten die HT-66 Gerätetastaturen ( HT-66 Gerätebedienknöpfe) diese wurden von vornherein besser und platzierter am SYTONG HT-66 angeordnet was die Bedienung des HT-66 vereinfacht, und das vor allem auch im Handbetrieb des HT-66.
Das wechseln der SD Karte am SYTONG HT-66 lässt sich viel einfacher wechseln, als bei Mitbewerber Geräten wie PARD
Das SYTONG HT-66 besitzt einen USB-C Anschluss
Zum Gewicht des HT-66 es wiegt nur 250g
Beim SYTONG HT-66 handelt es sich um ein DUAL-USE Nachsatz-Gerät , es verändert nicht bei einer Montage am ZF die Treffpunkt-Lage des Zielfernrohres, daher muss das HT-66 nicht eingeschossen werden.
Das Anbringung des HT-66 am Okular des ZF hat gegenüber der Anbringung auf dem Objektiv des ZF einen besonderen Vorteil, denn bei letzterer würden die beschichteten Linsen der Optik für mehr Transmission-Verlust sorgen. So aber ist das Wild auch bei schlechten Sichtverhältnissen gut zu erkennen und anzusprechen.
Dank des Dioptrien-Ausgleichs beim HT-66 ist das SYTONG HT-66 auch für Brillenträger geeignet, Schießen ohne Brille möglich
Das HT-66 besitzt ein fokussierbares 16-mm-Objektiv und sorgt somit für gestochen scharfe Bilder auf unterschiedlicher Distanzen
SYTONG HT-66 ist für den Einsatz zu Wildbeobachtung etc. bei Tag und Nacht geeignet
Dank Video- und Foto-Aufnahmemöglichkeiten können Sie Ihre nächtlichen Wildbeobachtungen oder Jagdmomente zum späteren Anschauen dokumentieren und auf der 32 GB Micro-SD-Karte speichern, diese ist aber leider nicht im Lieferumfang enthalten und muss als Zubehör zugekauft werden
Live-Bild-Übertragung mit Ihrem Endgerät durch Verbindung mit WLAN möglich – Anzeigen und Speichern der Live-Aufnahme auf Telefon oder Tablett erfolgt über eine spezielle App (IOS- und Androide-kompatibel).
Es ist beim HT-66 kein zusätzlicher IR-STRAHLER nötig, der bereits integrierte, in 3 Stufen einstellbare, fokussierbare IR-STRAHLER bietet eine klare Sicht von 240 - 400 m möglich.
Dank des mitgelieferten Okular-Werksadapters von 45 mm , lässt sich das Gerät HT-66 über einen Bajonettverschluss in Sekundenschnelle durch eine Handumdrehung schussfest am Zielfernrohr montieren und demontieren. Werks-Adaptergrößen von Größer 38,8- mm - 48 mm jederzeit verwendbar.
NEU: - alle SYTONG HT -66 und HT-660 GERMAN EDITION GERÄTE haben eine BILD in BILD Funktion installiert
Die Vorteile eine Direkt-Kaufs zu einem SYTONG HT-66 bei uns sind:
Sie kaufen bei uns direkt ein ORIGINAL SYTONG HT-66 GERMAN WERKSGERÄT
Werksgarantie von 2 Jahren für alle elektronischen Teile an SYTONG GERÄTE PRODUKTEN
Hinweis : Nicht in der Werksgarantie sind eingeschlossen, sind unsachgemäße Behandlung der SYTONG Geräte , Beschädigung durch äußere Einflüsse, Verlust von Geräteteilen etc.
Serviceleistungen an SYTONG GERÄTEN direkt bei uns im Hause
Ersatzteilkauf von SYTONG Gerätezubehörteile
Umfangreiches Original Zubehör für SYTONG Geräte
Geräte - Adapter Kauf direkt bei uns als Hersteller von Geräte - Adaptern und Zubehör
Im Lieferumfang eines SYTONG HT-66 GERMAN-EDITION sind enthalten :
1 Stück SYTONG HT-66 / NV 850 DUAL- USE mit 12 mm Objektiv und OLED Display
1 Stück ALU - Werksadapter in Größe 45,0 mm ( Hinweis bei Bedarf Werks- Adapter auch austauschbar ) also in jeder bei uns am Lager vorrätiger Adaptergröße )
1 Stück Stahl- Schnellverschluss – Schraube für ALU- Werksadapter geeignet
1 Stück SYTONG 18650-Li-Ion Standard-Akku 3200 mAh
1 Stück XSTAR USB-Ladegerät mit Ladestands-Anzeige für 18650-Li-Ion Akkus
2 Stück Dichtungsringe für Geräte Bajonett-Aufnahme und Geräte Batterie / Akkufach Deckel
1 Stück Ausgleichsklebeband für Okular (für Durchmesser Anpassung ADAPTER und Schutz vor Kratzern am ZF.
1 Stück HT-66 Baumwoll- Geräte Aufbewahrungsbeutel
1 Stück USB-Ladekabel / Datenkabel
1 Satz Inbusschlüssel für Adapter-Montage etc.
1 Stück Reinigungstuch
1 Stück Stativ-Adapter
1 Stück Stahl-Schnellverschluss-Schraube für Standard -Adapter
HT-66 Geräte - Bedienungsanleitung in deutscher und englischer Sprache
Garantie und Service Geräte Karte
Original Verkaufsrechnung mit 2 Jahre Gewährleistung ab Verkaufsdatum
TECHNISCHE GERÄTE DATEN zum SYTONG HT-66 / NV850 DUAL- USE - OLED:
Rückstoßkraft (Schockfestigkeit bei Beschuss)
bis ca. 6000 Joule
Optische Vergrößerung
2x
Digitale Vergrößerung (Zoom)
1x - 3,5x
Sony CMOS-SENSOR
Ja
Objektiv im Ø
12 mm
Seh-Feld (100m)
ca. 32 m
Fokussierbereich (cm)
3 - unendlich
Größe LxBxH (mm)
106x47x97
Netto-Gewicht
250 g
Foto Auflösung (Pixel)
2608x1944 (5 Megapixel) 
Video Auflösung (Pixel)
1920x1080 (Full HD)
Tag und Nachtsicht tauglich
Ja
Bildrate (Bilder pro Sekunde)
30 fps
Video-Format
MP4
Video-Typ
AVI
OLED Bildschirm mit Auflösung (Okular)
1024x768
Geeignet für Okular im Ø
25,0-48,0 mm
Dioptrien-Verstellung möglich
+5 ~ -5
Leistung der integrierten IR-Lampe
5 w
IR- STRAHLER Wellenlänge
850 nm
Licht-Stufen des Infrarotstrahlers
3
Infrarotstrahler fokussierbar
Ja
Infrarotstrahler Beleuchtungsreichweite
ca.280 m
Speicherkarte
Micro-SD Max. 32 GB
WLAN (WiFi)- Schnittstelle / App
Ja
Anschlüsse
USB Typ C
Akkulaufzeit ( je nach Akku-Geräteauslastung )
4 - 8 Stunden 
Akku-Typ
18650
Temperaturbereich
-20 °C bis +50 °C
Geräte Farbe
Schwarz matt
Live-Bildübertragung auf Smartphone oder Tablett
Ja
Menü in mehreren Sprachen wählbar (auch in Deutscher Sprache )
Ja
Ein Stativ-Gewinde ist im Gerät HT-66 vorhanden
Ja
Zuschaltbarer / regulierbarer roter Richtlaser
NEIN nicht im Gerät vorhanden
Zuschaltbares Kreuz-Absehen im Gerät selbst
NEIN nicht im Gerät vorhanden</t>
  </si>
  <si>
    <t>Tactical XT2</t>
  </si>
  <si>
    <t>Ein echtes Powerpaket mit dem Potential zum Bestseller – leistungsstark und preiswert: 400 Lumen Leuchtkraft, zwei Helligkeitsstufen, Stroboskopeffekt und ein handliches, stabiles Aluminium-Gehäuse sind die Eckdaten der Walther Tactical Xtreme, die über eine Drucktaste am Gehäuseboden bedient und mit zwei CR123A Batterien gespeist wird. Inklusive Batterien und Schlüsselband.
Batterien: 2 x CR123 (mitgeliefert)</t>
  </si>
  <si>
    <t>E099GA01</t>
  </si>
  <si>
    <t>Stirnlampe Petzl Actik rot - 450 Lumen</t>
  </si>
  <si>
    <t>E065AA01</t>
  </si>
  <si>
    <t>Stirnlampe Petzl Actik blau - 600 Lumen</t>
  </si>
  <si>
    <t>Produktbeschreibung
Produktinformationen herunterladen
Detaillierte Beschreibung
Leicht und leistungsstark: 600 Lumen bei einem Gewicht von nur 88 g.
Vielseitige, komfortable Beleuchtung für bewegungsintensive Aktivitäten:
- breiter, homogener Lichtkegel für eine komfortable Sicht im unmittelbaren Nahbereich oder im Bereich der Füße,
- kombinierter Lichtkegel (breit und fokussiert) für die Sicht im unmittelbaren Umgebungsbereich und im Fernbereich bei der Fortbewegung,
- drei Weißlicht-Stufen: MAX BURN TIME (maximale Leuchtdauer), STANDARD (optimales Verhältnis Leuchtkraft/Leuchtdauer) und MAX POWER (maximale Leuchtkraft),
- Rotes Dauerlicht zur Erhaltung der Dunkeladaptation des Auges und um andere Personen nicht zu blenden; rotes Blinklicht, um die Position des Benutzers, z.B. in Rettungssituationen, anzuzeigen.
Einfach zu bedienen:
- ein einziger Schalter für eine einfache, schnelle Wahl der Leuchtstufe oder der Lichtfarbe,
- Trägerplatte, die es ermöglicht, den Neigungswinkel der Lampe den Anforderungen entsprechend einzustellen,
- LED-Anzeige beim Ein- und Ausschalten der Lampe zur Kontrolle der verbleibenden Akkulaufzeit,
- aufladbar über Micro-USB-Anschluss Typ B,
- phosphoreszierender Reflektor, praktisch um die ausgeschaltete Lampe auch im Dunkeln schnell zu finden,
- LOCK-Funktion, um ein unbeabsichtigtes Einschalten während des Transports und bei Nichtbenutzung der Lampe zu verhindern,
- abnehmbares, waschbares Kopfband mit symmetrischer Einstellung, um die Anpassung zu erleichtern,
- reflektierendes Kopfband, damit der Benutzer auch im Dunkeln sichtbar ist,
- Transportetui, mit dem sich die Lampe in eine Laterne umfunktionieren lässt,
- HYBRID CONCEPT: Die mit dem CORE-Akku gelieferte ACTIK® CORE kann ebenfalls mit drei AAA/LR03-Batterien (nicht enthalten) betrieben werden. Die Lampe erkennt die Energiequelle automatisch und passt die Leuchtleistungen entsprechend an.
- kompatibel mit den Befestigungssystemen HELMET ADAPT und BIKE ADAPT 2 zum Anbringen der Lampe an allen Helmtypen oder an einem Fahrrad (1).
(1) Achtung, die Lampe ist nicht für die Benutzung im Straßenverkehr zertifiziert: Bei Benutzung in Bereichen, die unter eine Straßenverkehrsordnung fallen, ersetzen die Lampen von Petzl nicht die vorschriftsmäßige Fahrradbeleuchtung.</t>
  </si>
  <si>
    <t>E065AA02</t>
  </si>
  <si>
    <t>Stirnlampe Petzl Actik grün - 600 Lumen</t>
  </si>
  <si>
    <t>E065AA03</t>
  </si>
  <si>
    <t>Stirnlampe Petzl Actik rot - 600 Lumen</t>
  </si>
  <si>
    <t>E070BA00</t>
  </si>
  <si>
    <t>Stirnlampe Petzl Aria 2 schwarz - 450 Lumen</t>
  </si>
  <si>
    <t>Produktbeschreibung
Produktinformationen herunterladen
Detaillierte Beschreibung
Die ideale leistungsstarke Stirnlampe für Beobachtungen in der Natur (Jagen, Angeln, Beobachtung der Tier- und Pflanzenwelt usw.) :
- breiter und kombinierter (d. h. breiter und fokussierter) Lichtkegel für Nah- und Fernsicht,
- farbiges Licht, um sich verschiedenen Situationen anzupassen: Rot für den Erhalt der Dunkeladaptation des Auges und unbemerktes Auftreten, Grün für einfacheres Kartenlesen und die Verstärkung von Kontrasten, und Blau für das Aufspüren von Blutspuren und zur Verbesserung der Sicht im Wasser, ohne die Fische zu erschrecken,
- farbiges Dauer- oder Blinklicht entsprechend den Anforderungen der Aktivität,
- staubdicht und wasserdicht (-1 Meter während 30 Minuten),
- leicht, kompakt und leistungsstark: 450 Lumen bei einem Gewicht von 106 g.
Anwenderfreundlich:
- ein einziger Schalter für eine einfache, schnelle Wahl der Leuchtstufe oder der Lichtfarbe,
- drei Weißlicht-Stufen: MAX BURN TIME (maximale Leuchtdauer), STANDARD (optimales Verhältnis Leuchtkraft/Leuchtdauer) und MAX POWER (maximale Leuchtkraft),
- LED-Anzeige beim Ein- und Ausschalten der Lampe zur Kontrolle der verbleibenden Akkulaufzeit,
- Trägerplatte, die es ermöglicht, den Neigungswinkel der Lampe den Anforderungen entsprechend einzustellen,
- abnehmbares, waschbares Kopfband,
- LOCK-Funktion zum Schutz vor unbeabsichtigtem Einschalten während des Transports und bei Nichtbenutzung der Lampe.
Vielseitig:
- HYBRID CONCEPT: Die mit drei AAA-/LR03-Batterien gelieferte ARIA 2 RGB ist ebenfalls mit dem CORE-Akku (nicht enthalten) kompatibel. Die Lampe erkennt die Energiequelle automatisch und passt die Leuchtleistungen entsprechend an,
- kompatibel mit verschiedenem Zubehör zum Anbringen der Lampe an einem Helm (HELMET ADAPT) oder an einem Fahrrad (BIKE ADAPT 2).
Spezifikationen
Leuchtkraft: 450 Lumen (ANSI/PLATO FL 1)
Gewicht: 106 g
Lichtkegel: breit oder kombiniert
Betriebsmöglichkeiten: 3 AAA-/LR03-Batterien (enthalten) oder CORE-Akku (als Zubehör erhältlich)
Betriebsmöglichkeiten: Alkali-Batterien, Lithium-Batterien oder Ni-MH-Akkus
Zertifizierung(en): CE, UKCA
Wasserdicht: IP67</t>
  </si>
  <si>
    <t>E070BA01</t>
  </si>
  <si>
    <t>Stirnlampe Petzl Aria 2 camo - 450 Lumen</t>
  </si>
  <si>
    <t>E069BA00</t>
  </si>
  <si>
    <t>Stirnlampe Petzl Aria 1 schwarz - 350 Lumen</t>
  </si>
  <si>
    <t>Produktbeschreibung
Produktinformationen herunterladen
Detaillierte Beschreibung
Die ideale Stirnlampe für Beobachtungen in der Natur (Jagen, Angeln, Beobachtung der Tier- und Pflanzenwelt usw.) :
- breiter, homogener Lichtkegel für eine komfortable Sicht im unmittelbaren Nahbereich der Hände oder Füße,
- farbiges Licht, um sich verschiedenen Situationen anzupassen: Rot für den Erhalt der Dunkeladaptation des Auges und unbemerktes Auftreten, Grün für einfacheres Kartenlesen und die Verstärkung von Kontrasten, und Blau für das Aufspüren von Blutspuren und zur Verbesserung der Sicht im Wasser, ohne die Fische zu erschrecken,
- farbiges Dauer- oder Blinklicht entsprechend den Anforderungen der Aktivität,
- staubdicht und wasserdicht (-1 Meter während 30 Minuten),
- leicht und kompakt: nur 105 g.
Anwenderfreundlich:
- ein einziger Schalter für eine einfache, schnelle Wahl der Leuchtstufe oder der Lichtfarbe,
- drei Weißlicht-Stufen: MAX BURN TIME (maximale Leuchtdauer), STANDARD (optimales Verhältnis Leuchtkraft/Leuchtdauer) und MAX POWER (maximale Leuchtkraft),
- LED-Anzeige beim Ein- und Ausschalten der Lampe zur Kontrolle der verbleibenden Akkulaufzeit,
- Trägerplatte, die es ermöglicht, den Neigungswinkel der Lampe den Anforderungen entsprechend einzustellen,
- abnehmbares, waschbares Kopfband,
- LOCK-Funktion zum Schutz vor unbeabsichtigtem Einschalten während des Transports und bei Nichtbenutzung der Lampe.
Vielseitig:
- HYBRID CONCEPT: Die mit drei AAA-/LR03-Batterien gelieferte ARIA 1 RGB ist ebenfalls mit dem CORE-Akku (nicht enthalten) kompatibel. Die Lampe erkennt die Energiequelle automatisch und passt die Leuchtleistungen entsprechend an,
- kompatibel mit verschiedenem Zubehör zum Anbringen der Lampe an einem Helm (HELMET ADAPT) oder an einem Fahrrad (BIKE ADAPT 2).
Spezifikationen
Leuchtkraft: 350 Lumen (ANSI/PLATO FL 1)
Gewicht: 105 g
Lichtkegel: breit
Betriebsmöglichkeiten: 3 AAA-/LR03-Batterien (enthalten) oder CORE-Akku (als Zubehör erhältlich)
Betriebsmöglichkeiten: Alkali-Batterien, Lithium-Batterien oder Ni-MH-Akkus
Zertifizierung(en): CE, UKCA
Wasserdicht: IP67</t>
  </si>
  <si>
    <t>E069BA01</t>
  </si>
  <si>
    <t>Stirnlampe Petzl Aria 1 camo - 350 Lumen</t>
  </si>
  <si>
    <t>E091BA01</t>
  </si>
  <si>
    <t>Stirnlampe Petzl Tikkid pink - 20 Lumen</t>
  </si>
  <si>
    <t>Produktbeschreibung
Produktinformationen herunterladen
Detaillierte Beschreibung
Leuchtkraft 20 Lumen im High-Modus, um das photobiologische Risiko zu begrenzen und die empfindlichen Augen der Kinder zu schützen.
Ein einziger Schalter erleichtert die Bedienung.
Es stehen drei Leuchtstufen zur Verfügung:
- Stufe Low zum Lesen,
- Stufe High zum Spielen im Haus oder im Freien,
- weißes Blinklicht (20 Lumen), um von weitem gesehen zu werden.
Anpassbares Kopfband mit Sollbruchstelle.
Gesicherter Zugriff auf das Batteriefach durch eine Flachkopfschraube.
Praktischer phosphoreszierender Reflektor, um die Lampe im Dunkeln schnell zu finden.
Automatische Abschaltung nach einer Stunde.
HYBRID CONCEPT: Die mit drei Batterien gelieferte TIKKID® ist ebenfalls mit dem CORE-Akku kompatibel.Spezifikationen
Leuchtkraft: 20 Lumen (ANSI/PLATO FL 1)
Gewicht: 80 g
Lichtkegel: breit
Betriebsmöglichkeiten: 3 AAA/LR03-Batterien (enthalten) oder CORE-Akku (als Zubehör erhältlich)
Betriebsmöglichkeiten: Alkali-Batterien, Lithium-Batterien oder Ni-MH-Akkus
Zertifizierung(en): CE, UKCA, CPSIA
Wasserdicht: IPX4 (wetterfest)</t>
  </si>
  <si>
    <t>E095BA01</t>
  </si>
  <si>
    <t>E095BA02</t>
  </si>
  <si>
    <t>E095BB02</t>
  </si>
  <si>
    <t xml:space="preserve">Kompakte, sehr leistungsstarke, aufladbare Stirnlampe mit REACTIVE LIGHTING® Technologie. 900 Lumen
Die SWIFT® RL mit einer Leuchtkraft von 900 Lumen bei einem Gewicht von nur 100 g ist die leistungsstärkste Kompakt-Stirnlampe aus dem Hause Petzl. Bei der mit REACTIVE LIGHTING® Technologie ausgestatteten Lampe misst ein Sensor die umgebende Helligkeit und passt die Leuchtkraft automatisch den Anforderungen des Benutzers an. Das reflektierende Kopfband gewährleistet, dass der Benutzer im Dunkeln gut sichtbar ist. Es besteht aus zwei Teilen, um bei dynamischen und technisch anspruchsvollen Aktivitäten (Bergsteigen, Trailrunning, Skifahren) optimalen Halt zu gewährleisten. Alle Funktionen der intuitiv bedienbaren SWIFT® RL sind über einen einzigen Schalter leicht zugänglich. Die aufladbare Lampe verfügt über eine fünfstufige Anzeige des Ladezustands für eine präzise Kontrolle der verbleibenden Akkulaufzeit.
</t>
  </si>
  <si>
    <t>Stirnlampe Petzl Swift RL schwarz - 900 Lumen</t>
  </si>
  <si>
    <t>Stirnlampe Petzl Swift RL orange - 900 Lumen</t>
  </si>
  <si>
    <t>Stirnlampe Petzl Swift RL blau - 900 Lumen</t>
  </si>
  <si>
    <t>Stirnlampe Petzl Swift RL weiss - 1100 Lumen</t>
  </si>
  <si>
    <t>Kompakte, extrem leistungsstarke, aufladbare Stirnlampe mit REACTIVE LIGHTING®-Technologie. 1100 Lumen
Mit einer Leuchtkraft von 1100 Lumen bei einem Gewicht von nur 100 g ist die SWIFT RL die perfekte Allround-Stirnlampe und die unumgängliche Begleiterin bei all Ihren Outdoor-Aktivitäten. Bei der mit REACTIVE LIGHTING®-Technologie ausgestatteten Lampe misst ein Sensor die umgebende Helligkeit und passt die Leuchtkraft automatisch Ihren Anforderungen an. Das reflektierende Kopfband gewährleistet, auch im Dunkeln gut sichtbar zu sein. Es besteht aus zwei Teilen, um Ihnen selbst bei dynamischen und technisch anspruchsvollen Aktivitäten wie Bergsteigen, Trailrunning oder Skifahren optimalen Halt zu bieten. Die intuitive SWIFT RL-Stirnlampe verfügt über einen einzigen Schalter für den Zugriff auf alle Funktionen (ON/OFF, Leuchtmodi, Leuchtstufen und Verriegelung). Im Notfall können Sie dank rotem Dauer- oder Blinklicht auf sich aufmerksam machen. Die aufladbare Lampe verfügt zudem über eine fünfstufige Anzeige des Ladezustands für eine präzise Kontrolle der verbleibenden Akkulaufzeit.</t>
  </si>
  <si>
    <t>E065AB00</t>
  </si>
  <si>
    <t>Einfach zu bedienende, leistungsstarke und aufladbare Stirnlampe mit Rotlicht. 625 Lumen
Die ideale aufladbare Stirnlampe für bewegungsintensive Outdoor-Aktivitäten bis in die Abendstunden. Mit ihren 625 Lumen erzeugt die ACTIK CORE ein helles, komfortables Licht, um Sie beim Laufen, Trekking oder Bergsteigen zu begleiten. Dank ihres phosphoreszierenden Reflektors finden Sie sie auch im Dunkeln schnell wieder. Sie verfügt über ein Rotlicht, damit Sie andere Personen nicht blenden, und ein reflektierendes Kopfband, um Ihre Position anzuzeigen. Die ACTIK CORE wird mit dem CORE-Akku geliefert und kann dank HYBRID CONCEPT auch mit drei Batterien betrieben werden.</t>
  </si>
  <si>
    <t>E065AB03</t>
  </si>
  <si>
    <t>Stirnlampe Petzl ACTIK® CORE green</t>
  </si>
  <si>
    <t>Stirnlampe Petzl ACTIK® CORE red</t>
  </si>
  <si>
    <t>Gewicht 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</si>
</sst>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CHF&quot;\ * #,##0.00_ ;_ &quot;CHF&quot;\ * \-#,##0.00_ ;_ &quot;CHF&quot;\ * &quot;-&quot;??_ ;_ @_ "/>
    <numFmt numFmtId="164" formatCode="_ &quot;Fr.&quot;\ * #,##0.00_ ;_ &quot;Fr.&quot;\ * \-#,##0.00_ ;_ &quot;Fr.&quot;\ * &quot;-&quot;??_ ;_ @_ "/>
    <numFmt numFmtId="165" formatCode="_ &quot;Fr.&quot;\ * #\'##0.00_ ;_ &quot;Fr.&quot;\ * \-#\'##0.00_ ;_ &quot;Fr.&quot;\ * &quot;-&quot;??_ ;_ @_ "/>
    <numFmt numFmtId="166" formatCode="_-* #,##0.00\ &quot;€&quot;_-;\-* #,##0.00\ &quot;€&quot;_-;_-* &quot;-&quot;??\ &quot;€&quot;_-;_-@_-"/>
  </numFmts>
  <fonts count="6" x14ac:knownFonts="1">
    <font>
      <sz val="11"/>
      <color theme="1"/>
      <name val="Calibri"/>
      <family val="2"/>
      <scheme val="minor"/>
    </font>
    <font>
      <sz val="11"/>
      <color theme="1"/>
      <name val="Calibri"/>
      <family val="2"/>
      <scheme val="minor"/>
    </font>
    <font>
      <sz val="8"/>
      <color theme="1"/>
      <name val="Calibri"/>
      <family val="2"/>
      <scheme val="minor"/>
    </font>
    <font>
      <sz val="8"/>
      <name val="Calibri"/>
      <family val="2"/>
      <scheme val="minor"/>
    </font>
    <font>
      <sz val="8"/>
      <color rgb="FF00B0F0"/>
      <name val="Calibri"/>
      <family val="2"/>
      <scheme val="minor"/>
    </font>
    <font>
      <sz val="11"/>
      <color indexed="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9">
    <xf numFmtId="0" fontId="0" fillId="0" borderId="0"/>
    <xf numFmtId="4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5" fillId="0" borderId="0"/>
    <xf numFmtId="166" fontId="1" fillId="0" borderId="0" applyFont="0" applyFill="0" applyBorder="0" applyAlignment="0" applyProtection="0"/>
    <xf numFmtId="164" fontId="1" fillId="0" borderId="0" applyFont="0" applyFill="0" applyBorder="0" applyAlignment="0" applyProtection="0"/>
  </cellStyleXfs>
  <cellXfs count="25">
    <xf numFmtId="0" fontId="0" fillId="0" borderId="0" xfId="0"/>
    <xf numFmtId="0" fontId="2" fillId="0" borderId="0" xfId="1" applyNumberFormat="1" applyFont="1" applyFill="1"/>
    <xf numFmtId="0" fontId="3" fillId="0" borderId="1" xfId="0" applyFont="1" applyBorder="1"/>
    <xf numFmtId="0" fontId="3" fillId="0" borderId="1" xfId="1" applyNumberFormat="1" applyFont="1" applyFill="1" applyBorder="1"/>
    <xf numFmtId="1" fontId="3" fillId="0" borderId="1" xfId="0" applyNumberFormat="1" applyFont="1" applyBorder="1" applyAlignment="1">
      <alignment wrapText="1"/>
    </xf>
    <xf numFmtId="0" fontId="3" fillId="0" borderId="1" xfId="0" applyFont="1" applyBorder="1" applyAlignment="1">
      <alignment wrapText="1"/>
    </xf>
    <xf numFmtId="164" fontId="3" fillId="0" borderId="1" xfId="0" applyNumberFormat="1" applyFont="1" applyBorder="1"/>
    <xf numFmtId="0" fontId="3" fillId="0" borderId="0" xfId="0" applyFont="1"/>
    <xf numFmtId="0" fontId="3" fillId="0" borderId="1" xfId="2" applyNumberFormat="1" applyFont="1" applyFill="1" applyBorder="1"/>
    <xf numFmtId="1" fontId="3" fillId="0" borderId="1" xfId="0" applyNumberFormat="1" applyFont="1" applyBorder="1"/>
    <xf numFmtId="0" fontId="2" fillId="0" borderId="1" xfId="0" applyFont="1" applyBorder="1"/>
    <xf numFmtId="0" fontId="2" fillId="0" borderId="1" xfId="1" applyNumberFormat="1" applyFont="1" applyFill="1" applyBorder="1"/>
    <xf numFmtId="1" fontId="2" fillId="0" borderId="1" xfId="0" applyNumberFormat="1" applyFont="1" applyBorder="1"/>
    <xf numFmtId="0" fontId="2" fillId="0" borderId="1" xfId="0" applyFont="1" applyBorder="1" applyAlignment="1">
      <alignment wrapText="1"/>
    </xf>
    <xf numFmtId="164" fontId="2" fillId="0" borderId="1" xfId="0" applyNumberFormat="1" applyFont="1" applyBorder="1"/>
    <xf numFmtId="0" fontId="2" fillId="0" borderId="0" xfId="0" applyFont="1"/>
    <xf numFmtId="0" fontId="4" fillId="0" borderId="1" xfId="0" applyFont="1" applyBorder="1"/>
    <xf numFmtId="1" fontId="4" fillId="0" borderId="1" xfId="0" applyNumberFormat="1" applyFont="1" applyBorder="1"/>
    <xf numFmtId="0" fontId="4" fillId="0" borderId="1" xfId="0" applyFont="1" applyBorder="1" applyAlignment="1">
      <alignment wrapText="1"/>
    </xf>
    <xf numFmtId="164" fontId="4" fillId="0" borderId="1" xfId="0" applyNumberFormat="1" applyFont="1" applyBorder="1"/>
    <xf numFmtId="0" fontId="4" fillId="0" borderId="0" xfId="0" applyFont="1"/>
    <xf numFmtId="0" fontId="2" fillId="0" borderId="1" xfId="0" applyFont="1" applyBorder="1" applyAlignment="1">
      <alignment horizontal="center"/>
    </xf>
    <xf numFmtId="1" fontId="2" fillId="0" borderId="1" xfId="0" applyNumberFormat="1" applyFont="1" applyBorder="1" applyAlignment="1">
      <alignment wrapText="1"/>
    </xf>
    <xf numFmtId="0" fontId="4" fillId="0" borderId="1" xfId="2" applyNumberFormat="1" applyFont="1" applyFill="1" applyBorder="1"/>
    <xf numFmtId="164" fontId="2" fillId="0" borderId="0" xfId="1" applyNumberFormat="1" applyFont="1" applyFill="1"/>
  </cellXfs>
  <cellStyles count="9">
    <cellStyle name="Standard" xfId="0" builtinId="0"/>
    <cellStyle name="Standard 2" xfId="6" xr:uid="{C6348820-8E85-46B0-B5EA-02FBCCC211A6}"/>
    <cellStyle name="Währung" xfId="1" builtinId="4"/>
    <cellStyle name="Währung 2" xfId="2" xr:uid="{2C27D4A0-A690-47D6-B132-4162D3A33498}"/>
    <cellStyle name="Währung 2 2 2" xfId="5" xr:uid="{221F709C-A724-4FAC-8B45-DAED25DA39F4}"/>
    <cellStyle name="Währung 3" xfId="7" xr:uid="{C0C77DBA-CD89-4C03-8F36-3D35C141A5BC}"/>
    <cellStyle name="Währung 4" xfId="3" xr:uid="{5EB333DD-41A7-4E88-B4BE-60A0FCF2B9CF}"/>
    <cellStyle name="Währung 5" xfId="4" xr:uid="{8D67345A-E7A7-41B4-B6D6-95B6527A21B7}"/>
    <cellStyle name="Währung 6" xfId="8" xr:uid="{0D1948EC-F3CB-43D7-9391-D258E99699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0CE7C-7E37-48C5-9A5F-72EABA982F5B}">
  <sheetPr codeName="Tabelle2"/>
  <dimension ref="A1:AC51"/>
  <sheetViews>
    <sheetView tabSelected="1" topLeftCell="A9" workbookViewId="0">
      <selection activeCell="A34" sqref="A34:A36"/>
    </sheetView>
  </sheetViews>
  <sheetFormatPr baseColWidth="10" defaultColWidth="11.42578125" defaultRowHeight="11.25" x14ac:dyDescent="0.2"/>
  <cols>
    <col min="1" max="1" width="4.42578125" style="15" bestFit="1" customWidth="1"/>
    <col min="2" max="2" width="2.42578125" style="15" bestFit="1" customWidth="1"/>
    <col min="3" max="3" width="2.5703125" style="15" bestFit="1" customWidth="1"/>
    <col min="4" max="4" width="2.7109375" style="15" bestFit="1" customWidth="1"/>
    <col min="5" max="5" width="3" style="15" bestFit="1" customWidth="1"/>
    <col min="6" max="6" width="10.28515625" style="15" bestFit="1" customWidth="1"/>
    <col min="7" max="7" width="7.85546875" style="15" bestFit="1" customWidth="1"/>
    <col min="8" max="8" width="7.7109375" style="15" bestFit="1" customWidth="1"/>
    <col min="9" max="9" width="41.5703125" style="15" bestFit="1" customWidth="1"/>
    <col min="10" max="10" width="21" style="15" bestFit="1" customWidth="1"/>
    <col min="11" max="11" width="11.85546875" style="15" bestFit="1" customWidth="1"/>
    <col min="12" max="12" width="12" style="1" bestFit="1" customWidth="1"/>
    <col min="13" max="13" width="9.85546875" style="15" bestFit="1" customWidth="1"/>
    <col min="14" max="14" width="10" style="1" bestFit="1" customWidth="1"/>
    <col min="15" max="15" width="7.85546875" style="15" bestFit="1" customWidth="1"/>
    <col min="16" max="16" width="13.5703125" style="15" bestFit="1" customWidth="1"/>
    <col min="17" max="17" width="7.85546875" style="15" bestFit="1" customWidth="1"/>
    <col min="18" max="18" width="12.140625" style="15" bestFit="1" customWidth="1"/>
    <col min="19" max="19" width="252" style="15" bestFit="1" customWidth="1"/>
    <col min="20" max="20" width="67.28515625" style="15" bestFit="1" customWidth="1"/>
    <col min="21" max="21" width="26.5703125" style="15" bestFit="1" customWidth="1"/>
    <col min="22" max="22" width="67.28515625" style="15" bestFit="1" customWidth="1"/>
    <col min="23" max="23" width="11.42578125" style="15" bestFit="1"/>
    <col min="24" max="24" width="14.140625" style="15" bestFit="1" customWidth="1"/>
    <col min="25" max="25" width="30.140625" style="15" bestFit="1" customWidth="1"/>
    <col min="26" max="26" width="9" style="15" bestFit="1" customWidth="1"/>
    <col min="27" max="27" width="9.5703125" style="15" bestFit="1" customWidth="1"/>
    <col min="28" max="28" width="8.28515625" style="15" bestFit="1" customWidth="1"/>
    <col min="29" max="16384" width="11.42578125" style="15"/>
  </cols>
  <sheetData>
    <row r="1" spans="1:29" ht="15" customHeight="1" x14ac:dyDescent="0.2">
      <c r="A1" s="10"/>
      <c r="B1" s="10" t="s">
        <v>0</v>
      </c>
      <c r="C1" s="10" t="s">
        <v>1</v>
      </c>
      <c r="D1" s="10" t="s">
        <v>2</v>
      </c>
      <c r="E1" s="10" t="s">
        <v>3</v>
      </c>
      <c r="F1" s="10" t="s">
        <v>30</v>
      </c>
      <c r="G1" s="10" t="s">
        <v>4</v>
      </c>
      <c r="H1" s="10" t="s">
        <v>5</v>
      </c>
      <c r="I1" s="10" t="s">
        <v>6</v>
      </c>
      <c r="J1" s="10" t="s">
        <v>7</v>
      </c>
      <c r="K1" s="10" t="s">
        <v>8</v>
      </c>
      <c r="L1" s="11" t="s">
        <v>9</v>
      </c>
      <c r="M1" s="10" t="s">
        <v>10</v>
      </c>
      <c r="N1" s="11" t="s">
        <v>11</v>
      </c>
      <c r="O1" s="10" t="s">
        <v>12</v>
      </c>
      <c r="P1" s="10" t="s">
        <v>13</v>
      </c>
      <c r="Q1" s="10" t="s">
        <v>14</v>
      </c>
      <c r="R1" s="10" t="s">
        <v>15</v>
      </c>
      <c r="S1" s="10" t="s">
        <v>16</v>
      </c>
      <c r="T1" s="10" t="s">
        <v>17</v>
      </c>
      <c r="U1" s="10" t="s">
        <v>18</v>
      </c>
      <c r="V1" s="10" t="s">
        <v>19</v>
      </c>
      <c r="W1" s="10" t="s">
        <v>20</v>
      </c>
      <c r="X1" s="10" t="s">
        <v>21</v>
      </c>
      <c r="Y1" s="10" t="s">
        <v>22</v>
      </c>
      <c r="Z1" s="10" t="s">
        <v>23</v>
      </c>
      <c r="AA1" s="10" t="s">
        <v>24</v>
      </c>
      <c r="AB1" s="10" t="s">
        <v>25</v>
      </c>
      <c r="AC1" s="21" t="s">
        <v>128</v>
      </c>
    </row>
    <row r="2" spans="1:29" ht="15" customHeight="1" x14ac:dyDescent="0.2">
      <c r="A2" s="10">
        <v>1</v>
      </c>
      <c r="B2" s="10"/>
      <c r="C2" s="10"/>
      <c r="D2" s="10"/>
      <c r="E2" s="10"/>
      <c r="F2" s="10">
        <v>0</v>
      </c>
      <c r="G2" s="10" t="s">
        <v>31</v>
      </c>
      <c r="H2" s="10">
        <v>1</v>
      </c>
      <c r="I2" s="10" t="s">
        <v>32</v>
      </c>
      <c r="J2" s="10" t="s">
        <v>33</v>
      </c>
      <c r="K2" s="10"/>
      <c r="L2" s="11">
        <v>35</v>
      </c>
      <c r="M2" s="10">
        <v>53</v>
      </c>
      <c r="N2" s="11">
        <v>17</v>
      </c>
      <c r="O2" s="10" t="str">
        <f t="shared" ref="O2:O34" si="0">G2</f>
        <v>09BO802</v>
      </c>
      <c r="P2" s="10" t="s">
        <v>28</v>
      </c>
      <c r="Q2" s="10" t="s">
        <v>28</v>
      </c>
      <c r="R2" s="12"/>
      <c r="S2" s="13" t="s">
        <v>34</v>
      </c>
      <c r="T2" s="10" t="str">
        <f t="shared" ref="T2:T36" si="1">$I2 &amp; "," &amp; $J2 &amp;"," &amp; $P2 &amp;","&amp; $Q2</f>
        <v>FC-2,Accueil,Outdoor plus,Lampen,Böker,Böker</v>
      </c>
      <c r="U2" s="10" t="str">
        <f t="shared" ref="U2:U34" si="2">I2</f>
        <v>FC-2</v>
      </c>
      <c r="V2" s="10" t="str">
        <f t="shared" ref="V2:V34" si="3">T2</f>
        <v>FC-2,Accueil,Outdoor plus,Lampen,Böker,Böker</v>
      </c>
      <c r="W2" s="10">
        <v>1</v>
      </c>
      <c r="X2" s="10">
        <v>1</v>
      </c>
      <c r="Y2" s="2" t="str">
        <f xml:space="preserve"> "http://usfh.ch/img/Lampen/" &amp; G2 &amp; ".jpg"</f>
        <v>http://usfh.ch/img/Lampen/09BO802.jpg</v>
      </c>
      <c r="Z2" s="10" t="str">
        <f t="shared" ref="Z2:Z34" si="4">G2</f>
        <v>09BO802</v>
      </c>
      <c r="AA2" s="14">
        <f t="shared" ref="AA2:AA34" si="5">F2*L2</f>
        <v>0</v>
      </c>
      <c r="AB2" s="14">
        <f t="shared" ref="AB2:AB34" si="6">F2*N2</f>
        <v>0</v>
      </c>
      <c r="AC2" s="10">
        <v>0.5</v>
      </c>
    </row>
    <row r="3" spans="1:29" ht="15" customHeight="1" x14ac:dyDescent="0.2">
      <c r="A3" s="10">
        <v>2</v>
      </c>
      <c r="B3" s="10">
        <v>1</v>
      </c>
      <c r="C3" s="10"/>
      <c r="D3" s="10"/>
      <c r="E3" s="10"/>
      <c r="F3" s="10">
        <v>1</v>
      </c>
      <c r="G3" s="10" t="s">
        <v>29</v>
      </c>
      <c r="H3" s="10">
        <v>1</v>
      </c>
      <c r="I3" s="10" t="s">
        <v>35</v>
      </c>
      <c r="J3" s="10" t="s">
        <v>33</v>
      </c>
      <c r="K3" s="10"/>
      <c r="L3" s="11">
        <v>39</v>
      </c>
      <c r="M3" s="10">
        <v>53</v>
      </c>
      <c r="N3" s="11">
        <v>19</v>
      </c>
      <c r="O3" s="10" t="str">
        <f t="shared" si="0"/>
        <v>09BO803</v>
      </c>
      <c r="P3" s="10" t="s">
        <v>28</v>
      </c>
      <c r="Q3" s="10" t="s">
        <v>28</v>
      </c>
      <c r="R3" s="12"/>
      <c r="S3" s="13" t="s">
        <v>36</v>
      </c>
      <c r="T3" s="10" t="str">
        <f t="shared" si="1"/>
        <v>FC-3,Accueil,Outdoor plus,Lampen,Böker,Böker</v>
      </c>
      <c r="U3" s="10" t="str">
        <f t="shared" si="2"/>
        <v>FC-3</v>
      </c>
      <c r="V3" s="10" t="str">
        <f t="shared" si="3"/>
        <v>FC-3,Accueil,Outdoor plus,Lampen,Böker,Böker</v>
      </c>
      <c r="W3" s="10">
        <v>1</v>
      </c>
      <c r="X3" s="10">
        <v>1</v>
      </c>
      <c r="Y3" s="2" t="str">
        <f t="shared" ref="Y3:Y4" si="7" xml:space="preserve"> "http://usfh.ch/img/Lampen/" &amp; G3 &amp; ".jpg"</f>
        <v>http://usfh.ch/img/Lampen/09BO803.jpg</v>
      </c>
      <c r="Z3" s="10" t="str">
        <f t="shared" si="4"/>
        <v>09BO803</v>
      </c>
      <c r="AA3" s="14">
        <f t="shared" si="5"/>
        <v>39</v>
      </c>
      <c r="AB3" s="14">
        <f t="shared" si="6"/>
        <v>19</v>
      </c>
      <c r="AC3" s="10">
        <v>0.5</v>
      </c>
    </row>
    <row r="4" spans="1:29" ht="15" customHeight="1" x14ac:dyDescent="0.2">
      <c r="A4" s="10">
        <v>3</v>
      </c>
      <c r="B4" s="10">
        <v>1</v>
      </c>
      <c r="C4" s="10"/>
      <c r="D4" s="10"/>
      <c r="E4" s="10"/>
      <c r="F4" s="10">
        <v>4</v>
      </c>
      <c r="G4" s="10">
        <v>8241005</v>
      </c>
      <c r="H4" s="10">
        <v>1</v>
      </c>
      <c r="I4" s="10" t="s">
        <v>37</v>
      </c>
      <c r="J4" s="10" t="s">
        <v>33</v>
      </c>
      <c r="K4" s="10"/>
      <c r="L4" s="11">
        <v>29</v>
      </c>
      <c r="M4" s="10">
        <v>53</v>
      </c>
      <c r="N4" s="11">
        <v>9.82</v>
      </c>
      <c r="O4" s="10">
        <f t="shared" si="0"/>
        <v>8241005</v>
      </c>
      <c r="P4" s="10" t="s">
        <v>38</v>
      </c>
      <c r="Q4" s="10" t="s">
        <v>38</v>
      </c>
      <c r="R4" s="22">
        <v>4014037824153</v>
      </c>
      <c r="S4" s="13" t="s">
        <v>39</v>
      </c>
      <c r="T4" s="10" t="str">
        <f t="shared" si="1"/>
        <v>3 WATT Taschenlampe LED,Accueil,Outdoor plus,Lampen,Jenzi,Jenzi</v>
      </c>
      <c r="U4" s="10" t="str">
        <f t="shared" si="2"/>
        <v>3 WATT Taschenlampe LED</v>
      </c>
      <c r="V4" s="10" t="str">
        <f t="shared" si="3"/>
        <v>3 WATT Taschenlampe LED,Accueil,Outdoor plus,Lampen,Jenzi,Jenzi</v>
      </c>
      <c r="W4" s="10">
        <v>1</v>
      </c>
      <c r="X4" s="10">
        <v>1</v>
      </c>
      <c r="Y4" s="2" t="str">
        <f t="shared" si="7"/>
        <v>http://usfh.ch/img/Lampen/8241005.jpg</v>
      </c>
      <c r="Z4" s="10">
        <f t="shared" si="4"/>
        <v>8241005</v>
      </c>
      <c r="AA4" s="14">
        <f t="shared" si="5"/>
        <v>116</v>
      </c>
      <c r="AB4" s="14">
        <f t="shared" si="6"/>
        <v>39.28</v>
      </c>
      <c r="AC4" s="10">
        <v>0.5</v>
      </c>
    </row>
    <row r="5" spans="1:29" ht="15" customHeight="1" x14ac:dyDescent="0.2">
      <c r="A5" s="10">
        <v>4</v>
      </c>
      <c r="B5" s="10"/>
      <c r="C5" s="10"/>
      <c r="D5" s="10"/>
      <c r="E5" s="10"/>
      <c r="F5" s="10">
        <v>0</v>
      </c>
      <c r="G5" s="10" t="s">
        <v>40</v>
      </c>
      <c r="H5" s="10">
        <v>1</v>
      </c>
      <c r="I5" s="10" t="s">
        <v>41</v>
      </c>
      <c r="J5" s="10" t="s">
        <v>33</v>
      </c>
      <c r="K5" s="10"/>
      <c r="L5" s="11">
        <v>178</v>
      </c>
      <c r="M5" s="10">
        <v>53</v>
      </c>
      <c r="N5" s="11">
        <v>93</v>
      </c>
      <c r="O5" s="10" t="str">
        <f t="shared" si="0"/>
        <v>NC-TM03</v>
      </c>
      <c r="P5" s="2" t="s">
        <v>42</v>
      </c>
      <c r="Q5" s="10" t="s">
        <v>43</v>
      </c>
      <c r="R5" s="22"/>
      <c r="S5" s="13" t="s">
        <v>44</v>
      </c>
      <c r="T5" s="10" t="str">
        <f t="shared" si="1"/>
        <v>NiteCore TM03 Taschenlampe,Accueil,Outdoor plus,Lampen,Revolution Trading,Nitecore</v>
      </c>
      <c r="U5" s="10" t="str">
        <f t="shared" si="2"/>
        <v>NiteCore TM03 Taschenlampe</v>
      </c>
      <c r="V5" s="10" t="str">
        <f t="shared" si="3"/>
        <v>NiteCore TM03 Taschenlampe,Accueil,Outdoor plus,Lampen,Revolution Trading,Nitecore</v>
      </c>
      <c r="W5" s="10">
        <v>1</v>
      </c>
      <c r="X5" s="10">
        <v>1</v>
      </c>
      <c r="Y5" s="2" t="str">
        <f xml:space="preserve"> "http://usfh.ch/img/Lampen/" &amp; G5 &amp; ".jpg"</f>
        <v>http://usfh.ch/img/Lampen/NC-TM03.jpg</v>
      </c>
      <c r="Z5" s="10" t="str">
        <f t="shared" si="4"/>
        <v>NC-TM03</v>
      </c>
      <c r="AA5" s="14">
        <f t="shared" si="5"/>
        <v>0</v>
      </c>
      <c r="AB5" s="14">
        <f t="shared" si="6"/>
        <v>0</v>
      </c>
      <c r="AC5" s="10">
        <v>0.5</v>
      </c>
    </row>
    <row r="6" spans="1:29" ht="15" customHeight="1" x14ac:dyDescent="0.2">
      <c r="A6" s="10">
        <v>5</v>
      </c>
      <c r="B6" s="10"/>
      <c r="C6" s="10"/>
      <c r="D6" s="10"/>
      <c r="E6" s="10"/>
      <c r="F6" s="10">
        <v>0</v>
      </c>
      <c r="G6" s="10">
        <v>11090</v>
      </c>
      <c r="H6" s="10">
        <v>1</v>
      </c>
      <c r="I6" s="10" t="s">
        <v>45</v>
      </c>
      <c r="J6" s="10" t="s">
        <v>33</v>
      </c>
      <c r="K6" s="10"/>
      <c r="L6" s="11">
        <v>69</v>
      </c>
      <c r="M6" s="10">
        <v>53</v>
      </c>
      <c r="N6" s="11">
        <v>42</v>
      </c>
      <c r="O6" s="10">
        <f t="shared" si="0"/>
        <v>11090</v>
      </c>
      <c r="P6" s="10" t="s">
        <v>26</v>
      </c>
      <c r="Q6" s="10" t="s">
        <v>46</v>
      </c>
      <c r="R6" s="22"/>
      <c r="S6" s="13" t="s">
        <v>47</v>
      </c>
      <c r="T6" s="10" t="str">
        <f t="shared" si="1"/>
        <v>Taschenlampe Niteye BC25 XM-L2,Accueil,Outdoor plus,Lampen,Airsoft,Niteye</v>
      </c>
      <c r="U6" s="10" t="str">
        <f t="shared" si="2"/>
        <v>Taschenlampe Niteye BC25 XM-L2</v>
      </c>
      <c r="V6" s="10" t="str">
        <f t="shared" si="3"/>
        <v>Taschenlampe Niteye BC25 XM-L2,Accueil,Outdoor plus,Lampen,Airsoft,Niteye</v>
      </c>
      <c r="W6" s="10">
        <v>1</v>
      </c>
      <c r="X6" s="10">
        <v>1</v>
      </c>
      <c r="Y6" s="2" t="str">
        <f t="shared" ref="Y6:Y36" si="8" xml:space="preserve"> "http://usfh.ch/img/Lampen/" &amp; G6 &amp; ".jpg"</f>
        <v>http://usfh.ch/img/Lampen/11090.jpg</v>
      </c>
      <c r="Z6" s="10">
        <f t="shared" si="4"/>
        <v>11090</v>
      </c>
      <c r="AA6" s="14">
        <f t="shared" si="5"/>
        <v>0</v>
      </c>
      <c r="AB6" s="14">
        <f t="shared" si="6"/>
        <v>0</v>
      </c>
      <c r="AC6" s="10">
        <v>0.5</v>
      </c>
    </row>
    <row r="7" spans="1:29" ht="15" customHeight="1" x14ac:dyDescent="0.2">
      <c r="A7" s="10">
        <v>6</v>
      </c>
      <c r="B7" s="10"/>
      <c r="C7" s="10"/>
      <c r="D7" s="10"/>
      <c r="E7" s="10"/>
      <c r="F7" s="10">
        <v>0</v>
      </c>
      <c r="G7" s="10">
        <v>11091</v>
      </c>
      <c r="H7" s="10">
        <v>1</v>
      </c>
      <c r="I7" s="10" t="s">
        <v>48</v>
      </c>
      <c r="J7" s="10" t="s">
        <v>33</v>
      </c>
      <c r="K7" s="10"/>
      <c r="L7" s="11">
        <v>69</v>
      </c>
      <c r="M7" s="10">
        <v>53</v>
      </c>
      <c r="N7" s="11">
        <v>42</v>
      </c>
      <c r="O7" s="10">
        <f t="shared" si="0"/>
        <v>11091</v>
      </c>
      <c r="P7" s="10" t="s">
        <v>26</v>
      </c>
      <c r="Q7" s="10" t="s">
        <v>46</v>
      </c>
      <c r="R7" s="22"/>
      <c r="S7" s="13" t="s">
        <v>49</v>
      </c>
      <c r="T7" s="10" t="str">
        <f t="shared" si="1"/>
        <v>Taschenlampe Niteye BC40 XM-L2,Accueil,Outdoor plus,Lampen,Airsoft,Niteye</v>
      </c>
      <c r="U7" s="10" t="str">
        <f t="shared" si="2"/>
        <v>Taschenlampe Niteye BC40 XM-L2</v>
      </c>
      <c r="V7" s="10" t="str">
        <f t="shared" si="3"/>
        <v>Taschenlampe Niteye BC40 XM-L2,Accueil,Outdoor plus,Lampen,Airsoft,Niteye</v>
      </c>
      <c r="W7" s="10">
        <v>1</v>
      </c>
      <c r="X7" s="10">
        <v>1</v>
      </c>
      <c r="Y7" s="2" t="str">
        <f t="shared" si="8"/>
        <v>http://usfh.ch/img/Lampen/11091.jpg</v>
      </c>
      <c r="Z7" s="10">
        <f t="shared" si="4"/>
        <v>11091</v>
      </c>
      <c r="AA7" s="14">
        <f t="shared" si="5"/>
        <v>0</v>
      </c>
      <c r="AB7" s="14">
        <f t="shared" si="6"/>
        <v>0</v>
      </c>
      <c r="AC7" s="10">
        <v>0.5</v>
      </c>
    </row>
    <row r="8" spans="1:29" ht="15" customHeight="1" x14ac:dyDescent="0.2">
      <c r="A8" s="10">
        <v>7</v>
      </c>
      <c r="B8" s="10"/>
      <c r="C8" s="10"/>
      <c r="D8" s="10"/>
      <c r="E8" s="10"/>
      <c r="F8" s="10">
        <v>0</v>
      </c>
      <c r="G8" s="10">
        <v>14771</v>
      </c>
      <c r="H8" s="10">
        <v>1</v>
      </c>
      <c r="I8" s="10" t="s">
        <v>50</v>
      </c>
      <c r="J8" s="10" t="s">
        <v>33</v>
      </c>
      <c r="K8" s="10"/>
      <c r="L8" s="11">
        <v>189</v>
      </c>
      <c r="M8" s="10">
        <v>53</v>
      </c>
      <c r="N8" s="11">
        <v>115</v>
      </c>
      <c r="O8" s="10">
        <f t="shared" si="0"/>
        <v>14771</v>
      </c>
      <c r="P8" s="10" t="s">
        <v>26</v>
      </c>
      <c r="Q8" s="10" t="s">
        <v>51</v>
      </c>
      <c r="R8" s="22"/>
      <c r="S8" s="13" t="s">
        <v>52</v>
      </c>
      <c r="T8" s="10" t="str">
        <f t="shared" si="1"/>
        <v>Taschenlampe Fenix TK51 XM L2,Accueil,Outdoor plus,Lampen,Airsoft,Fenix</v>
      </c>
      <c r="U8" s="10" t="str">
        <f t="shared" si="2"/>
        <v>Taschenlampe Fenix TK51 XM L2</v>
      </c>
      <c r="V8" s="10" t="str">
        <f t="shared" si="3"/>
        <v>Taschenlampe Fenix TK51 XM L2,Accueil,Outdoor plus,Lampen,Airsoft,Fenix</v>
      </c>
      <c r="W8" s="10">
        <v>1</v>
      </c>
      <c r="X8" s="10">
        <v>1</v>
      </c>
      <c r="Y8" s="2" t="str">
        <f t="shared" si="8"/>
        <v>http://usfh.ch/img/Lampen/14771.jpg</v>
      </c>
      <c r="Z8" s="10">
        <f t="shared" si="4"/>
        <v>14771</v>
      </c>
      <c r="AA8" s="14">
        <f t="shared" si="5"/>
        <v>0</v>
      </c>
      <c r="AB8" s="14">
        <f t="shared" si="6"/>
        <v>0</v>
      </c>
      <c r="AC8" s="10">
        <v>0.5</v>
      </c>
    </row>
    <row r="9" spans="1:29" ht="15" customHeight="1" x14ac:dyDescent="0.2">
      <c r="A9" s="10">
        <v>8</v>
      </c>
      <c r="B9" s="10"/>
      <c r="C9" s="10"/>
      <c r="D9" s="10"/>
      <c r="E9" s="10"/>
      <c r="F9" s="10">
        <v>0</v>
      </c>
      <c r="G9" s="10">
        <v>20585</v>
      </c>
      <c r="H9" s="10">
        <v>1</v>
      </c>
      <c r="I9" s="10" t="s">
        <v>53</v>
      </c>
      <c r="J9" s="10" t="s">
        <v>33</v>
      </c>
      <c r="K9" s="10"/>
      <c r="L9" s="11">
        <v>79</v>
      </c>
      <c r="M9" s="10">
        <v>53</v>
      </c>
      <c r="N9" s="11">
        <v>48</v>
      </c>
      <c r="O9" s="10">
        <f t="shared" si="0"/>
        <v>20585</v>
      </c>
      <c r="P9" s="10" t="s">
        <v>26</v>
      </c>
      <c r="Q9" s="10" t="s">
        <v>51</v>
      </c>
      <c r="R9" s="22"/>
      <c r="S9" s="13" t="s">
        <v>54</v>
      </c>
      <c r="T9" s="10" t="str">
        <f t="shared" si="1"/>
        <v>Taschenlampe Fenix UC30 XM-L2,Accueil,Outdoor plus,Lampen,Airsoft,Fenix</v>
      </c>
      <c r="U9" s="10" t="str">
        <f t="shared" si="2"/>
        <v>Taschenlampe Fenix UC30 XM-L2</v>
      </c>
      <c r="V9" s="10" t="str">
        <f t="shared" si="3"/>
        <v>Taschenlampe Fenix UC30 XM-L2,Accueil,Outdoor plus,Lampen,Airsoft,Fenix</v>
      </c>
      <c r="W9" s="10">
        <v>1</v>
      </c>
      <c r="X9" s="10">
        <v>1</v>
      </c>
      <c r="Y9" s="2" t="str">
        <f t="shared" si="8"/>
        <v>http://usfh.ch/img/Lampen/20585.jpg</v>
      </c>
      <c r="Z9" s="10">
        <f t="shared" si="4"/>
        <v>20585</v>
      </c>
      <c r="AA9" s="14">
        <f t="shared" si="5"/>
        <v>0</v>
      </c>
      <c r="AB9" s="14">
        <f t="shared" si="6"/>
        <v>0</v>
      </c>
      <c r="AC9" s="10">
        <v>0.5</v>
      </c>
    </row>
    <row r="10" spans="1:29" s="7" customFormat="1" ht="15" customHeight="1" x14ac:dyDescent="0.2">
      <c r="A10" s="10">
        <v>9</v>
      </c>
      <c r="B10" s="2"/>
      <c r="C10" s="2"/>
      <c r="D10" s="2"/>
      <c r="E10" s="2"/>
      <c r="F10" s="2">
        <v>0</v>
      </c>
      <c r="G10" s="2" t="s">
        <v>55</v>
      </c>
      <c r="H10" s="2">
        <v>1</v>
      </c>
      <c r="I10" s="2" t="s">
        <v>56</v>
      </c>
      <c r="J10" s="2" t="s">
        <v>33</v>
      </c>
      <c r="K10" s="2"/>
      <c r="L10" s="3">
        <v>139</v>
      </c>
      <c r="M10" s="2">
        <v>53</v>
      </c>
      <c r="N10" s="3">
        <v>70</v>
      </c>
      <c r="O10" s="2" t="str">
        <f t="shared" si="0"/>
        <v>NC-MH27</v>
      </c>
      <c r="P10" s="2" t="s">
        <v>42</v>
      </c>
      <c r="Q10" s="2" t="s">
        <v>43</v>
      </c>
      <c r="R10" s="4"/>
      <c r="S10" s="5" t="s">
        <v>57</v>
      </c>
      <c r="T10" s="2" t="str">
        <f t="shared" si="1"/>
        <v>Nitecore MH27 Taschenlampe,Accueil,Outdoor plus,Lampen,Revolution Trading,Nitecore</v>
      </c>
      <c r="U10" s="2" t="str">
        <f t="shared" si="2"/>
        <v>Nitecore MH27 Taschenlampe</v>
      </c>
      <c r="V10" s="2" t="str">
        <f t="shared" si="3"/>
        <v>Nitecore MH27 Taschenlampe,Accueil,Outdoor plus,Lampen,Revolution Trading,Nitecore</v>
      </c>
      <c r="W10" s="2">
        <v>1</v>
      </c>
      <c r="X10" s="2">
        <v>1</v>
      </c>
      <c r="Y10" s="2" t="str">
        <f t="shared" si="8"/>
        <v>http://usfh.ch/img/Lampen/NC-MH27.jpg</v>
      </c>
      <c r="Z10" s="2" t="str">
        <f t="shared" si="4"/>
        <v>NC-MH27</v>
      </c>
      <c r="AA10" s="6">
        <f t="shared" si="5"/>
        <v>0</v>
      </c>
      <c r="AB10" s="6">
        <f t="shared" si="6"/>
        <v>0</v>
      </c>
      <c r="AC10" s="2">
        <v>0.5</v>
      </c>
    </row>
    <row r="11" spans="1:29" s="7" customFormat="1" ht="15" customHeight="1" x14ac:dyDescent="0.2">
      <c r="A11" s="10">
        <v>10</v>
      </c>
      <c r="B11" s="2"/>
      <c r="C11" s="2"/>
      <c r="D11" s="2"/>
      <c r="E11" s="2"/>
      <c r="F11" s="2">
        <v>0</v>
      </c>
      <c r="G11" s="2">
        <v>20122</v>
      </c>
      <c r="H11" s="2">
        <v>1</v>
      </c>
      <c r="I11" s="2" t="s">
        <v>58</v>
      </c>
      <c r="J11" s="2" t="s">
        <v>33</v>
      </c>
      <c r="K11" s="2"/>
      <c r="L11" s="3">
        <v>104</v>
      </c>
      <c r="M11" s="2">
        <v>53</v>
      </c>
      <c r="N11" s="3">
        <v>61.5</v>
      </c>
      <c r="O11" s="2">
        <f t="shared" si="0"/>
        <v>20122</v>
      </c>
      <c r="P11" s="2" t="s">
        <v>26</v>
      </c>
      <c r="Q11" s="2" t="s">
        <v>59</v>
      </c>
      <c r="R11" s="4"/>
      <c r="S11" s="5" t="s">
        <v>60</v>
      </c>
      <c r="T11" s="2" t="str">
        <f t="shared" si="1"/>
        <v>AR10 XM-L2 U2,Accueil,Outdoor plus,Lampen,Airsoft,Klarus</v>
      </c>
      <c r="U11" s="2" t="str">
        <f t="shared" si="2"/>
        <v>AR10 XM-L2 U2</v>
      </c>
      <c r="V11" s="2" t="str">
        <f t="shared" si="3"/>
        <v>AR10 XM-L2 U2,Accueil,Outdoor plus,Lampen,Airsoft,Klarus</v>
      </c>
      <c r="W11" s="2">
        <v>1</v>
      </c>
      <c r="X11" s="2">
        <v>1</v>
      </c>
      <c r="Y11" s="2" t="str">
        <f t="shared" si="8"/>
        <v>http://usfh.ch/img/Lampen/20122.jpg</v>
      </c>
      <c r="Z11" s="2">
        <f t="shared" si="4"/>
        <v>20122</v>
      </c>
      <c r="AA11" s="6">
        <f t="shared" si="5"/>
        <v>0</v>
      </c>
      <c r="AB11" s="6">
        <f t="shared" si="6"/>
        <v>0</v>
      </c>
      <c r="AC11" s="2">
        <v>0.5</v>
      </c>
    </row>
    <row r="12" spans="1:29" s="7" customFormat="1" ht="15" customHeight="1" x14ac:dyDescent="0.2">
      <c r="A12" s="10">
        <v>11</v>
      </c>
      <c r="B12" s="2"/>
      <c r="C12" s="2"/>
      <c r="D12" s="2"/>
      <c r="E12" s="2"/>
      <c r="F12" s="2">
        <v>0</v>
      </c>
      <c r="G12" s="2">
        <v>23916</v>
      </c>
      <c r="H12" s="2">
        <v>1</v>
      </c>
      <c r="I12" s="2" t="s">
        <v>61</v>
      </c>
      <c r="J12" s="2" t="s">
        <v>33</v>
      </c>
      <c r="K12" s="2"/>
      <c r="L12" s="8">
        <v>29</v>
      </c>
      <c r="M12" s="2">
        <v>53</v>
      </c>
      <c r="N12" s="8">
        <v>15.5</v>
      </c>
      <c r="O12" s="2">
        <f t="shared" si="0"/>
        <v>23916</v>
      </c>
      <c r="P12" s="2" t="s">
        <v>26</v>
      </c>
      <c r="Q12" s="2" t="s">
        <v>59</v>
      </c>
      <c r="R12" s="9"/>
      <c r="S12" s="5" t="s">
        <v>62</v>
      </c>
      <c r="T12" s="2" t="str">
        <f t="shared" si="1"/>
        <v>CH1 Powerbank &amp; Charger,Accueil,Outdoor plus,Lampen,Airsoft,Klarus</v>
      </c>
      <c r="U12" s="2" t="str">
        <f t="shared" si="2"/>
        <v>CH1 Powerbank &amp; Charger</v>
      </c>
      <c r="V12" s="2" t="str">
        <f t="shared" si="3"/>
        <v>CH1 Powerbank &amp; Charger,Accueil,Outdoor plus,Lampen,Airsoft,Klarus</v>
      </c>
      <c r="W12" s="2">
        <v>1</v>
      </c>
      <c r="X12" s="2">
        <v>1</v>
      </c>
      <c r="Y12" s="2" t="str">
        <f t="shared" si="8"/>
        <v>http://usfh.ch/img/Lampen/23916.jpg</v>
      </c>
      <c r="Z12" s="2">
        <f t="shared" si="4"/>
        <v>23916</v>
      </c>
      <c r="AA12" s="6">
        <f t="shared" si="5"/>
        <v>0</v>
      </c>
      <c r="AB12" s="6">
        <f t="shared" si="6"/>
        <v>0</v>
      </c>
      <c r="AC12" s="2">
        <v>0.5</v>
      </c>
    </row>
    <row r="13" spans="1:29" s="7" customFormat="1" ht="15" customHeight="1" x14ac:dyDescent="0.2">
      <c r="A13" s="10">
        <v>12</v>
      </c>
      <c r="B13" s="2"/>
      <c r="C13" s="2"/>
      <c r="D13" s="2"/>
      <c r="E13" s="2"/>
      <c r="F13" s="2">
        <v>2</v>
      </c>
      <c r="G13" s="2" t="s">
        <v>63</v>
      </c>
      <c r="H13" s="2">
        <v>1</v>
      </c>
      <c r="I13" s="2" t="s">
        <v>64</v>
      </c>
      <c r="J13" s="2" t="s">
        <v>33</v>
      </c>
      <c r="K13" s="2"/>
      <c r="L13" s="8">
        <v>72</v>
      </c>
      <c r="M13" s="2">
        <v>53</v>
      </c>
      <c r="N13" s="8">
        <v>36</v>
      </c>
      <c r="O13" s="2" t="str">
        <f t="shared" si="0"/>
        <v>NC-SC4</v>
      </c>
      <c r="P13" s="2" t="s">
        <v>42</v>
      </c>
      <c r="Q13" s="2" t="s">
        <v>43</v>
      </c>
      <c r="R13" s="9"/>
      <c r="S13" s="5" t="s">
        <v>65</v>
      </c>
      <c r="T13" s="2" t="str">
        <f t="shared" si="1"/>
        <v>NiteCore SC4 Schnelladegerät 3A,Accueil,Outdoor plus,Lampen,Revolution Trading,Nitecore</v>
      </c>
      <c r="U13" s="2" t="str">
        <f t="shared" si="2"/>
        <v>NiteCore SC4 Schnelladegerät 3A</v>
      </c>
      <c r="V13" s="2" t="str">
        <f t="shared" si="3"/>
        <v>NiteCore SC4 Schnelladegerät 3A,Accueil,Outdoor plus,Lampen,Revolution Trading,Nitecore</v>
      </c>
      <c r="W13" s="2">
        <v>1</v>
      </c>
      <c r="X13" s="2">
        <v>1</v>
      </c>
      <c r="Y13" s="2" t="str">
        <f t="shared" si="8"/>
        <v>http://usfh.ch/img/Lampen/NC-SC4.jpg</v>
      </c>
      <c r="Z13" s="2" t="str">
        <f t="shared" si="4"/>
        <v>NC-SC4</v>
      </c>
      <c r="AA13" s="6">
        <f t="shared" si="5"/>
        <v>144</v>
      </c>
      <c r="AB13" s="6">
        <f t="shared" si="6"/>
        <v>72</v>
      </c>
      <c r="AC13" s="2">
        <v>0.5</v>
      </c>
    </row>
    <row r="14" spans="1:29" s="7" customFormat="1" ht="15" customHeight="1" x14ac:dyDescent="0.2">
      <c r="A14" s="10">
        <v>13</v>
      </c>
      <c r="B14" s="2"/>
      <c r="C14" s="2"/>
      <c r="D14" s="2"/>
      <c r="E14" s="2"/>
      <c r="F14" s="2">
        <v>1</v>
      </c>
      <c r="G14" s="2" t="s">
        <v>66</v>
      </c>
      <c r="H14" s="2">
        <v>1</v>
      </c>
      <c r="I14" s="2" t="s">
        <v>67</v>
      </c>
      <c r="J14" s="2" t="s">
        <v>33</v>
      </c>
      <c r="K14" s="2"/>
      <c r="L14" s="8">
        <v>19</v>
      </c>
      <c r="M14" s="2">
        <v>53</v>
      </c>
      <c r="N14" s="8">
        <v>8.75</v>
      </c>
      <c r="O14" s="2" t="str">
        <f t="shared" si="0"/>
        <v>NC-F1</v>
      </c>
      <c r="P14" s="2" t="s">
        <v>42</v>
      </c>
      <c r="Q14" s="2" t="s">
        <v>43</v>
      </c>
      <c r="R14" s="9"/>
      <c r="S14" s="5" t="s">
        <v>68</v>
      </c>
      <c r="T14" s="2" t="str">
        <f t="shared" si="1"/>
        <v>Nitecore F1 FlexBank,Accueil,Outdoor plus,Lampen,Revolution Trading,Nitecore</v>
      </c>
      <c r="U14" s="2" t="str">
        <f t="shared" si="2"/>
        <v>Nitecore F1 FlexBank</v>
      </c>
      <c r="V14" s="2" t="str">
        <f t="shared" si="3"/>
        <v>Nitecore F1 FlexBank,Accueil,Outdoor plus,Lampen,Revolution Trading,Nitecore</v>
      </c>
      <c r="W14" s="2">
        <v>1</v>
      </c>
      <c r="X14" s="2">
        <v>1</v>
      </c>
      <c r="Y14" s="2" t="str">
        <f t="shared" si="8"/>
        <v>http://usfh.ch/img/Lampen/NC-F1.jpg</v>
      </c>
      <c r="Z14" s="2" t="str">
        <f t="shared" si="4"/>
        <v>NC-F1</v>
      </c>
      <c r="AA14" s="6">
        <f t="shared" si="5"/>
        <v>19</v>
      </c>
      <c r="AB14" s="6">
        <f t="shared" si="6"/>
        <v>8.75</v>
      </c>
      <c r="AC14" s="2">
        <v>0.5</v>
      </c>
    </row>
    <row r="15" spans="1:29" s="7" customFormat="1" ht="15" customHeight="1" x14ac:dyDescent="0.2">
      <c r="A15" s="10">
        <v>14</v>
      </c>
      <c r="B15" s="2"/>
      <c r="C15" s="2"/>
      <c r="D15" s="2"/>
      <c r="E15" s="2"/>
      <c r="F15" s="2">
        <v>2</v>
      </c>
      <c r="G15" s="2" t="s">
        <v>69</v>
      </c>
      <c r="H15" s="2">
        <v>1</v>
      </c>
      <c r="I15" s="2" t="s">
        <v>70</v>
      </c>
      <c r="J15" s="2" t="s">
        <v>33</v>
      </c>
      <c r="K15" s="2"/>
      <c r="L15" s="8">
        <v>29</v>
      </c>
      <c r="M15" s="2">
        <v>53</v>
      </c>
      <c r="N15" s="8">
        <v>13.7</v>
      </c>
      <c r="O15" s="2" t="str">
        <f t="shared" si="0"/>
        <v>NC-UM2</v>
      </c>
      <c r="P15" s="2" t="s">
        <v>42</v>
      </c>
      <c r="Q15" s="2" t="s">
        <v>43</v>
      </c>
      <c r="R15" s="9"/>
      <c r="S15" s="5" t="s">
        <v>71</v>
      </c>
      <c r="T15" s="2" t="str">
        <f t="shared" si="1"/>
        <v>Nitecore UM2 USB-Ladegerät,Accueil,Outdoor plus,Lampen,Revolution Trading,Nitecore</v>
      </c>
      <c r="U15" s="2" t="str">
        <f t="shared" si="2"/>
        <v>Nitecore UM2 USB-Ladegerät</v>
      </c>
      <c r="V15" s="2" t="str">
        <f t="shared" si="3"/>
        <v>Nitecore UM2 USB-Ladegerät,Accueil,Outdoor plus,Lampen,Revolution Trading,Nitecore</v>
      </c>
      <c r="W15" s="2">
        <v>1</v>
      </c>
      <c r="X15" s="2">
        <v>1</v>
      </c>
      <c r="Y15" s="2" t="str">
        <f t="shared" si="8"/>
        <v>http://usfh.ch/img/Lampen/NC-UM2.jpg</v>
      </c>
      <c r="Z15" s="2" t="str">
        <f t="shared" si="4"/>
        <v>NC-UM2</v>
      </c>
      <c r="AA15" s="6">
        <f t="shared" si="5"/>
        <v>58</v>
      </c>
      <c r="AB15" s="6">
        <f t="shared" si="6"/>
        <v>27.4</v>
      </c>
      <c r="AC15" s="2">
        <v>0.5</v>
      </c>
    </row>
    <row r="16" spans="1:29" s="7" customFormat="1" ht="15" customHeight="1" x14ac:dyDescent="0.2">
      <c r="A16" s="10">
        <v>15</v>
      </c>
      <c r="B16" s="2"/>
      <c r="C16" s="2"/>
      <c r="D16" s="2"/>
      <c r="E16" s="2"/>
      <c r="F16" s="2">
        <v>2</v>
      </c>
      <c r="G16" s="2" t="s">
        <v>72</v>
      </c>
      <c r="H16" s="2">
        <v>1</v>
      </c>
      <c r="I16" s="2" t="s">
        <v>73</v>
      </c>
      <c r="J16" s="2" t="s">
        <v>33</v>
      </c>
      <c r="K16" s="2"/>
      <c r="L16" s="8">
        <v>94</v>
      </c>
      <c r="M16" s="2">
        <v>53</v>
      </c>
      <c r="N16" s="8">
        <v>46.75</v>
      </c>
      <c r="O16" s="2" t="str">
        <f t="shared" si="0"/>
        <v>NC-MT21C</v>
      </c>
      <c r="P16" s="2" t="s">
        <v>42</v>
      </c>
      <c r="Q16" s="2" t="s">
        <v>43</v>
      </c>
      <c r="R16" s="9"/>
      <c r="S16" s="5" t="s">
        <v>74</v>
      </c>
      <c r="T16" s="2" t="str">
        <f t="shared" si="1"/>
        <v>NiteCore MT21C,Accueil,Outdoor plus,Lampen,Revolution Trading,Nitecore</v>
      </c>
      <c r="U16" s="2" t="str">
        <f t="shared" si="2"/>
        <v>NiteCore MT21C</v>
      </c>
      <c r="V16" s="2" t="str">
        <f t="shared" si="3"/>
        <v>NiteCore MT21C,Accueil,Outdoor plus,Lampen,Revolution Trading,Nitecore</v>
      </c>
      <c r="W16" s="2">
        <v>1</v>
      </c>
      <c r="X16" s="2">
        <v>1</v>
      </c>
      <c r="Y16" s="2" t="str">
        <f t="shared" si="8"/>
        <v>http://usfh.ch/img/Lampen/NC-MT21C.jpg</v>
      </c>
      <c r="Z16" s="2" t="str">
        <f t="shared" si="4"/>
        <v>NC-MT21C</v>
      </c>
      <c r="AA16" s="6">
        <f t="shared" si="5"/>
        <v>188</v>
      </c>
      <c r="AB16" s="6">
        <f t="shared" si="6"/>
        <v>93.5</v>
      </c>
      <c r="AC16" s="2">
        <v>0.5</v>
      </c>
    </row>
    <row r="17" spans="1:29" s="7" customFormat="1" ht="15" customHeight="1" x14ac:dyDescent="0.2">
      <c r="A17" s="10">
        <v>16</v>
      </c>
      <c r="B17" s="2"/>
      <c r="C17" s="2"/>
      <c r="D17" s="2"/>
      <c r="E17" s="2"/>
      <c r="F17" s="2">
        <v>0</v>
      </c>
      <c r="G17" s="2" t="s">
        <v>75</v>
      </c>
      <c r="H17" s="2">
        <v>1</v>
      </c>
      <c r="I17" s="2" t="s">
        <v>76</v>
      </c>
      <c r="J17" s="2" t="s">
        <v>33</v>
      </c>
      <c r="K17" s="2"/>
      <c r="L17" s="8">
        <v>179</v>
      </c>
      <c r="M17" s="2">
        <v>53</v>
      </c>
      <c r="N17" s="8">
        <v>81.95</v>
      </c>
      <c r="O17" s="2" t="str">
        <f t="shared" si="0"/>
        <v>NC-MH25S</v>
      </c>
      <c r="P17" s="2" t="s">
        <v>42</v>
      </c>
      <c r="Q17" s="2" t="s">
        <v>43</v>
      </c>
      <c r="R17" s="9"/>
      <c r="S17" s="5" t="s">
        <v>77</v>
      </c>
      <c r="T17" s="2" t="str">
        <f t="shared" si="1"/>
        <v>NiteCore MH25S - 1'800 Lumen USB,Accueil,Outdoor plus,Lampen,Revolution Trading,Nitecore</v>
      </c>
      <c r="U17" s="2" t="str">
        <f t="shared" si="2"/>
        <v>NiteCore MH25S - 1'800 Lumen USB</v>
      </c>
      <c r="V17" s="2" t="str">
        <f t="shared" si="3"/>
        <v>NiteCore MH25S - 1'800 Lumen USB,Accueil,Outdoor plus,Lampen,Revolution Trading,Nitecore</v>
      </c>
      <c r="W17" s="2">
        <v>1</v>
      </c>
      <c r="X17" s="2">
        <v>1</v>
      </c>
      <c r="Y17" s="2" t="str">
        <f t="shared" si="8"/>
        <v>http://usfh.ch/img/Lampen/NC-MH25S.jpg</v>
      </c>
      <c r="Z17" s="2" t="str">
        <f t="shared" si="4"/>
        <v>NC-MH25S</v>
      </c>
      <c r="AA17" s="6">
        <f t="shared" si="5"/>
        <v>0</v>
      </c>
      <c r="AB17" s="6">
        <f t="shared" si="6"/>
        <v>0</v>
      </c>
      <c r="AC17" s="2">
        <v>0.5</v>
      </c>
    </row>
    <row r="18" spans="1:29" s="7" customFormat="1" ht="15" customHeight="1" x14ac:dyDescent="0.2">
      <c r="A18" s="10">
        <v>17</v>
      </c>
      <c r="B18" s="2"/>
      <c r="C18" s="2"/>
      <c r="D18" s="2"/>
      <c r="E18" s="2"/>
      <c r="F18" s="2">
        <v>0</v>
      </c>
      <c r="G18" s="2" t="s">
        <v>78</v>
      </c>
      <c r="H18" s="2">
        <v>1</v>
      </c>
      <c r="I18" s="2" t="s">
        <v>79</v>
      </c>
      <c r="J18" s="2" t="s">
        <v>33</v>
      </c>
      <c r="K18" s="2"/>
      <c r="L18" s="8">
        <v>189</v>
      </c>
      <c r="M18" s="2">
        <v>53</v>
      </c>
      <c r="N18" s="8">
        <v>92.95</v>
      </c>
      <c r="O18" s="2" t="str">
        <f t="shared" si="0"/>
        <v>NC-P20iX</v>
      </c>
      <c r="P18" s="2" t="s">
        <v>42</v>
      </c>
      <c r="Q18" s="2" t="s">
        <v>43</v>
      </c>
      <c r="R18" s="9"/>
      <c r="S18" s="5" t="s">
        <v>80</v>
      </c>
      <c r="T18" s="2" t="str">
        <f t="shared" si="1"/>
        <v>NiteCore P20iX - 4000 Lumen,Accueil,Outdoor plus,Lampen,Revolution Trading,Nitecore</v>
      </c>
      <c r="U18" s="2" t="str">
        <f t="shared" si="2"/>
        <v>NiteCore P20iX - 4000 Lumen</v>
      </c>
      <c r="V18" s="2" t="str">
        <f t="shared" si="3"/>
        <v>NiteCore P20iX - 4000 Lumen,Accueil,Outdoor plus,Lampen,Revolution Trading,Nitecore</v>
      </c>
      <c r="W18" s="2">
        <v>1</v>
      </c>
      <c r="X18" s="2">
        <v>1</v>
      </c>
      <c r="Y18" s="2" t="str">
        <f t="shared" si="8"/>
        <v>http://usfh.ch/img/Lampen/NC-P20iX.jpg</v>
      </c>
      <c r="Z18" s="2" t="str">
        <f t="shared" si="4"/>
        <v>NC-P20iX</v>
      </c>
      <c r="AA18" s="6">
        <f t="shared" si="5"/>
        <v>0</v>
      </c>
      <c r="AB18" s="6">
        <f t="shared" si="6"/>
        <v>0</v>
      </c>
      <c r="AC18" s="2">
        <v>0.5</v>
      </c>
    </row>
    <row r="19" spans="1:29" s="7" customFormat="1" ht="15" customHeight="1" x14ac:dyDescent="0.2">
      <c r="A19" s="10">
        <v>18</v>
      </c>
      <c r="B19" s="2"/>
      <c r="C19" s="2"/>
      <c r="D19" s="2"/>
      <c r="E19" s="2"/>
      <c r="F19" s="2">
        <v>0</v>
      </c>
      <c r="G19" s="2" t="s">
        <v>81</v>
      </c>
      <c r="H19" s="2">
        <v>1</v>
      </c>
      <c r="I19" s="2" t="s">
        <v>82</v>
      </c>
      <c r="J19" s="2" t="s">
        <v>33</v>
      </c>
      <c r="K19" s="2"/>
      <c r="L19" s="8">
        <v>89</v>
      </c>
      <c r="M19" s="2">
        <v>53</v>
      </c>
      <c r="N19" s="8">
        <v>50.3</v>
      </c>
      <c r="O19" s="2" t="str">
        <f t="shared" si="0"/>
        <v>E099GA00</v>
      </c>
      <c r="P19" s="2" t="s">
        <v>83</v>
      </c>
      <c r="Q19" s="2" t="s">
        <v>84</v>
      </c>
      <c r="R19" s="9"/>
      <c r="S19" s="5" t="s">
        <v>85</v>
      </c>
      <c r="T19" s="2" t="str">
        <f t="shared" si="1"/>
        <v>Stirnlampe Petzl Actik schwarz - 450 Lumen,Accueil,Outdoor plus,Lampen,Rapala Fishco,Petzl</v>
      </c>
      <c r="U19" s="2" t="str">
        <f t="shared" si="2"/>
        <v>Stirnlampe Petzl Actik schwarz - 450 Lumen</v>
      </c>
      <c r="V19" s="2" t="str">
        <f t="shared" si="3"/>
        <v>Stirnlampe Petzl Actik schwarz - 450 Lumen,Accueil,Outdoor plus,Lampen,Rapala Fishco,Petzl</v>
      </c>
      <c r="W19" s="2">
        <v>1</v>
      </c>
      <c r="X19" s="2">
        <v>1</v>
      </c>
      <c r="Y19" s="2" t="str">
        <f t="shared" si="8"/>
        <v>http://usfh.ch/img/Lampen/E099GA00.jpg</v>
      </c>
      <c r="Z19" s="2" t="str">
        <f t="shared" si="4"/>
        <v>E099GA00</v>
      </c>
      <c r="AA19" s="6">
        <f t="shared" si="5"/>
        <v>0</v>
      </c>
      <c r="AB19" s="6">
        <f t="shared" si="6"/>
        <v>0</v>
      </c>
      <c r="AC19" s="2">
        <v>0.5</v>
      </c>
    </row>
    <row r="20" spans="1:29" s="7" customFormat="1" ht="15" customHeight="1" x14ac:dyDescent="0.2">
      <c r="A20" s="10">
        <v>19</v>
      </c>
      <c r="B20" s="2"/>
      <c r="C20" s="2"/>
      <c r="D20" s="2"/>
      <c r="E20" s="2"/>
      <c r="F20" s="2">
        <v>0</v>
      </c>
      <c r="G20" s="2" t="s">
        <v>86</v>
      </c>
      <c r="H20" s="2">
        <v>1</v>
      </c>
      <c r="I20" s="2" t="s">
        <v>118</v>
      </c>
      <c r="J20" s="2" t="s">
        <v>33</v>
      </c>
      <c r="K20" s="2"/>
      <c r="L20" s="8">
        <v>99</v>
      </c>
      <c r="M20" s="2">
        <v>53</v>
      </c>
      <c r="N20" s="8">
        <v>49.9</v>
      </c>
      <c r="O20" s="2" t="str">
        <f t="shared" si="0"/>
        <v>E095BA00</v>
      </c>
      <c r="P20" s="2" t="s">
        <v>84</v>
      </c>
      <c r="Q20" s="2" t="s">
        <v>84</v>
      </c>
      <c r="R20" s="9"/>
      <c r="S20" s="5" t="s">
        <v>117</v>
      </c>
      <c r="T20" s="2" t="str">
        <f t="shared" si="1"/>
        <v>Stirnlampe Petzl Swift RL schwarz - 900 Lumen,Accueil,Outdoor plus,Lampen,Petzl,Petzl</v>
      </c>
      <c r="U20" s="2" t="str">
        <f t="shared" si="2"/>
        <v>Stirnlampe Petzl Swift RL schwarz - 900 Lumen</v>
      </c>
      <c r="V20" s="2" t="str">
        <f t="shared" si="3"/>
        <v>Stirnlampe Petzl Swift RL schwarz - 900 Lumen,Accueil,Outdoor plus,Lampen,Petzl,Petzl</v>
      </c>
      <c r="W20" s="2">
        <v>1</v>
      </c>
      <c r="X20" s="2">
        <v>1</v>
      </c>
      <c r="Y20" s="2" t="str">
        <f t="shared" si="8"/>
        <v>http://usfh.ch/img/Lampen/E095BA00.jpg</v>
      </c>
      <c r="Z20" s="2" t="str">
        <f t="shared" si="4"/>
        <v>E095BA00</v>
      </c>
      <c r="AA20" s="6">
        <f t="shared" si="5"/>
        <v>0</v>
      </c>
      <c r="AB20" s="6">
        <f t="shared" si="6"/>
        <v>0</v>
      </c>
      <c r="AC20" s="2">
        <v>0.5</v>
      </c>
    </row>
    <row r="21" spans="1:29" s="7" customFormat="1" ht="15" customHeight="1" x14ac:dyDescent="0.2">
      <c r="A21" s="10">
        <v>20</v>
      </c>
      <c r="B21" s="2"/>
      <c r="C21" s="2"/>
      <c r="D21" s="2"/>
      <c r="E21" s="2"/>
      <c r="F21" s="2">
        <v>0</v>
      </c>
      <c r="G21" s="2" t="s">
        <v>114</v>
      </c>
      <c r="H21" s="2">
        <v>1</v>
      </c>
      <c r="I21" s="2" t="s">
        <v>119</v>
      </c>
      <c r="J21" s="2" t="s">
        <v>33</v>
      </c>
      <c r="K21" s="2"/>
      <c r="L21" s="8">
        <v>99</v>
      </c>
      <c r="M21" s="2">
        <v>53</v>
      </c>
      <c r="N21" s="8">
        <v>49.9</v>
      </c>
      <c r="O21" s="2" t="str">
        <f t="shared" ref="O21:O22" si="9">G21</f>
        <v>E095BA01</v>
      </c>
      <c r="P21" s="2" t="s">
        <v>84</v>
      </c>
      <c r="Q21" s="2" t="s">
        <v>84</v>
      </c>
      <c r="R21" s="9"/>
      <c r="S21" s="5" t="s">
        <v>117</v>
      </c>
      <c r="T21" s="2" t="str">
        <f t="shared" si="1"/>
        <v>Stirnlampe Petzl Swift RL orange - 900 Lumen,Accueil,Outdoor plus,Lampen,Petzl,Petzl</v>
      </c>
      <c r="U21" s="2" t="str">
        <f t="shared" ref="U21:U22" si="10">I21</f>
        <v>Stirnlampe Petzl Swift RL orange - 900 Lumen</v>
      </c>
      <c r="V21" s="2" t="str">
        <f t="shared" ref="V21:V22" si="11">T21</f>
        <v>Stirnlampe Petzl Swift RL orange - 900 Lumen,Accueil,Outdoor plus,Lampen,Petzl,Petzl</v>
      </c>
      <c r="W21" s="2">
        <v>1</v>
      </c>
      <c r="X21" s="2">
        <v>1</v>
      </c>
      <c r="Y21" s="2" t="str">
        <f t="shared" si="8"/>
        <v>http://usfh.ch/img/Lampen/E095BA01.jpg</v>
      </c>
      <c r="Z21" s="2" t="str">
        <f t="shared" ref="Z21:Z22" si="12">G21</f>
        <v>E095BA01</v>
      </c>
      <c r="AA21" s="6">
        <f t="shared" ref="AA21:AA22" si="13">F21*L21</f>
        <v>0</v>
      </c>
      <c r="AB21" s="6">
        <f t="shared" ref="AB21:AB22" si="14">F21*N21</f>
        <v>0</v>
      </c>
      <c r="AC21" s="2">
        <v>0.5</v>
      </c>
    </row>
    <row r="22" spans="1:29" s="7" customFormat="1" ht="15" customHeight="1" x14ac:dyDescent="0.2">
      <c r="A22" s="10">
        <v>21</v>
      </c>
      <c r="B22" s="2"/>
      <c r="C22" s="2"/>
      <c r="D22" s="2"/>
      <c r="E22" s="2"/>
      <c r="F22" s="2">
        <v>0</v>
      </c>
      <c r="G22" s="2" t="s">
        <v>115</v>
      </c>
      <c r="H22" s="2">
        <v>1</v>
      </c>
      <c r="I22" s="2" t="s">
        <v>120</v>
      </c>
      <c r="J22" s="2" t="s">
        <v>33</v>
      </c>
      <c r="K22" s="2"/>
      <c r="L22" s="8">
        <v>99</v>
      </c>
      <c r="M22" s="2">
        <v>53</v>
      </c>
      <c r="N22" s="8">
        <v>49.9</v>
      </c>
      <c r="O22" s="2" t="str">
        <f t="shared" si="9"/>
        <v>E095BA02</v>
      </c>
      <c r="P22" s="2" t="s">
        <v>84</v>
      </c>
      <c r="Q22" s="2" t="s">
        <v>84</v>
      </c>
      <c r="R22" s="9"/>
      <c r="S22" s="5" t="s">
        <v>117</v>
      </c>
      <c r="T22" s="2" t="str">
        <f t="shared" si="1"/>
        <v>Stirnlampe Petzl Swift RL blau - 900 Lumen,Accueil,Outdoor plus,Lampen,Petzl,Petzl</v>
      </c>
      <c r="U22" s="2" t="str">
        <f t="shared" si="10"/>
        <v>Stirnlampe Petzl Swift RL blau - 900 Lumen</v>
      </c>
      <c r="V22" s="2" t="str">
        <f t="shared" si="11"/>
        <v>Stirnlampe Petzl Swift RL blau - 900 Lumen,Accueil,Outdoor plus,Lampen,Petzl,Petzl</v>
      </c>
      <c r="W22" s="2">
        <v>1</v>
      </c>
      <c r="X22" s="2">
        <v>1</v>
      </c>
      <c r="Y22" s="2" t="str">
        <f t="shared" si="8"/>
        <v>http://usfh.ch/img/Lampen/E095BA02.jpg</v>
      </c>
      <c r="Z22" s="2" t="str">
        <f t="shared" si="12"/>
        <v>E095BA02</v>
      </c>
      <c r="AA22" s="6">
        <f t="shared" si="13"/>
        <v>0</v>
      </c>
      <c r="AB22" s="6">
        <f t="shared" si="14"/>
        <v>0</v>
      </c>
      <c r="AC22" s="2">
        <v>0.5</v>
      </c>
    </row>
    <row r="23" spans="1:29" s="7" customFormat="1" ht="15" customHeight="1" x14ac:dyDescent="0.2">
      <c r="A23" s="10">
        <v>22</v>
      </c>
      <c r="B23" s="2"/>
      <c r="C23" s="2"/>
      <c r="D23" s="2"/>
      <c r="E23" s="2"/>
      <c r="F23" s="2">
        <v>1</v>
      </c>
      <c r="G23" s="2" t="s">
        <v>116</v>
      </c>
      <c r="H23" s="2">
        <v>1</v>
      </c>
      <c r="I23" s="2" t="s">
        <v>121</v>
      </c>
      <c r="J23" s="2" t="s">
        <v>33</v>
      </c>
      <c r="K23" s="2"/>
      <c r="L23" s="8">
        <v>139</v>
      </c>
      <c r="M23" s="2">
        <v>53</v>
      </c>
      <c r="N23" s="8">
        <v>68.22</v>
      </c>
      <c r="O23" s="2" t="str">
        <f t="shared" ref="O23" si="15">G23</f>
        <v>E095BB02</v>
      </c>
      <c r="P23" s="2" t="s">
        <v>84</v>
      </c>
      <c r="Q23" s="2" t="s">
        <v>84</v>
      </c>
      <c r="R23" s="9"/>
      <c r="S23" s="5" t="s">
        <v>122</v>
      </c>
      <c r="T23" s="2" t="str">
        <f t="shared" si="1"/>
        <v>Stirnlampe Petzl Swift RL weiss - 1100 Lumen,Accueil,Outdoor plus,Lampen,Petzl,Petzl</v>
      </c>
      <c r="U23" s="2" t="str">
        <f t="shared" ref="U23" si="16">I23</f>
        <v>Stirnlampe Petzl Swift RL weiss - 1100 Lumen</v>
      </c>
      <c r="V23" s="2" t="str">
        <f t="shared" ref="V23" si="17">T23</f>
        <v>Stirnlampe Petzl Swift RL weiss - 1100 Lumen,Accueil,Outdoor plus,Lampen,Petzl,Petzl</v>
      </c>
      <c r="W23" s="2">
        <v>1</v>
      </c>
      <c r="X23" s="2">
        <v>1</v>
      </c>
      <c r="Y23" s="2" t="str">
        <f t="shared" si="8"/>
        <v>http://usfh.ch/img/Lampen/E095BB02.jpg</v>
      </c>
      <c r="Z23" s="2" t="str">
        <f t="shared" ref="Z23" si="18">G23</f>
        <v>E095BB02</v>
      </c>
      <c r="AA23" s="6">
        <f t="shared" ref="AA23" si="19">F23*L23</f>
        <v>139</v>
      </c>
      <c r="AB23" s="6">
        <f t="shared" ref="AB23" si="20">F23*N23</f>
        <v>68.22</v>
      </c>
      <c r="AC23" s="2">
        <v>0.5</v>
      </c>
    </row>
    <row r="24" spans="1:29" s="7" customFormat="1" ht="15" customHeight="1" x14ac:dyDescent="0.2">
      <c r="A24" s="10">
        <v>23</v>
      </c>
      <c r="B24" s="2"/>
      <c r="C24" s="2"/>
      <c r="D24" s="2"/>
      <c r="E24" s="2"/>
      <c r="F24" s="2">
        <v>4</v>
      </c>
      <c r="G24" s="2">
        <v>2106612</v>
      </c>
      <c r="H24" s="2">
        <v>1</v>
      </c>
      <c r="I24" s="2" t="s">
        <v>87</v>
      </c>
      <c r="J24" s="2" t="s">
        <v>33</v>
      </c>
      <c r="K24" s="2"/>
      <c r="L24" s="8">
        <v>490</v>
      </c>
      <c r="M24" s="2">
        <v>53</v>
      </c>
      <c r="N24" s="8">
        <v>150</v>
      </c>
      <c r="O24" s="2">
        <f t="shared" si="0"/>
        <v>2106612</v>
      </c>
      <c r="P24" s="2" t="s">
        <v>88</v>
      </c>
      <c r="Q24" s="2" t="s">
        <v>88</v>
      </c>
      <c r="R24" s="9"/>
      <c r="S24" s="5" t="s">
        <v>89</v>
      </c>
      <c r="T24" s="2" t="str">
        <f t="shared" si="1"/>
        <v>SYTONG HT-66 / NV850 GERMAN-EDITION mit 12 mm Objektiv,Accueil,Outdoor plus,Lampen,Sytong,Sytong</v>
      </c>
      <c r="U24" s="2" t="str">
        <f t="shared" si="2"/>
        <v>SYTONG HT-66 / NV850 GERMAN-EDITION mit 12 mm Objektiv</v>
      </c>
      <c r="V24" s="2" t="str">
        <f t="shared" si="3"/>
        <v>SYTONG HT-66 / NV850 GERMAN-EDITION mit 12 mm Objektiv,Accueil,Outdoor plus,Lampen,Sytong,Sytong</v>
      </c>
      <c r="W24" s="2">
        <v>1</v>
      </c>
      <c r="X24" s="2">
        <v>1</v>
      </c>
      <c r="Y24" s="2" t="str">
        <f t="shared" si="8"/>
        <v>http://usfh.ch/img/Lampen/2106612.jpg</v>
      </c>
      <c r="Z24" s="2">
        <f t="shared" si="4"/>
        <v>2106612</v>
      </c>
      <c r="AA24" s="6">
        <f t="shared" si="5"/>
        <v>1960</v>
      </c>
      <c r="AB24" s="6">
        <f t="shared" si="6"/>
        <v>600</v>
      </c>
      <c r="AC24" s="2">
        <v>0.5</v>
      </c>
    </row>
    <row r="25" spans="1:29" s="7" customFormat="1" ht="15" customHeight="1" x14ac:dyDescent="0.2">
      <c r="A25" s="10">
        <v>24</v>
      </c>
      <c r="B25" s="2"/>
      <c r="C25" s="2"/>
      <c r="D25" s="2"/>
      <c r="E25" s="2"/>
      <c r="F25" s="2">
        <v>1</v>
      </c>
      <c r="G25" s="2">
        <v>12767</v>
      </c>
      <c r="H25" s="2">
        <v>1</v>
      </c>
      <c r="I25" s="2" t="s">
        <v>90</v>
      </c>
      <c r="J25" s="2" t="s">
        <v>33</v>
      </c>
      <c r="K25" s="2"/>
      <c r="L25" s="8">
        <v>59</v>
      </c>
      <c r="M25" s="2">
        <v>53</v>
      </c>
      <c r="N25" s="8">
        <v>30</v>
      </c>
      <c r="O25" s="2">
        <f t="shared" si="0"/>
        <v>12767</v>
      </c>
      <c r="P25" s="7" t="s">
        <v>26</v>
      </c>
      <c r="Q25" s="2" t="s">
        <v>27</v>
      </c>
      <c r="R25" s="9"/>
      <c r="S25" s="5" t="s">
        <v>91</v>
      </c>
      <c r="T25" s="2" t="str">
        <f t="shared" si="1"/>
        <v>Tactical XT2,Accueil,Outdoor plus,Lampen,Airsoft,Walther</v>
      </c>
      <c r="U25" s="2" t="str">
        <f t="shared" si="2"/>
        <v>Tactical XT2</v>
      </c>
      <c r="V25" s="2" t="str">
        <f t="shared" si="3"/>
        <v>Tactical XT2,Accueil,Outdoor plus,Lampen,Airsoft,Walther</v>
      </c>
      <c r="W25" s="2">
        <v>1</v>
      </c>
      <c r="X25" s="2">
        <v>1</v>
      </c>
      <c r="Y25" s="2" t="str">
        <f t="shared" si="8"/>
        <v>http://usfh.ch/img/Lampen/12767.jpg</v>
      </c>
      <c r="Z25" s="2">
        <f t="shared" si="4"/>
        <v>12767</v>
      </c>
      <c r="AA25" s="6">
        <f t="shared" si="5"/>
        <v>59</v>
      </c>
      <c r="AB25" s="6">
        <f t="shared" si="6"/>
        <v>30</v>
      </c>
      <c r="AC25" s="2">
        <v>0.5</v>
      </c>
    </row>
    <row r="26" spans="1:29" s="7" customFormat="1" ht="15" customHeight="1" x14ac:dyDescent="0.2">
      <c r="A26" s="10">
        <v>25</v>
      </c>
      <c r="B26" s="2"/>
      <c r="C26" s="2"/>
      <c r="D26" s="2"/>
      <c r="E26" s="2"/>
      <c r="F26" s="2">
        <v>0</v>
      </c>
      <c r="G26" s="2" t="s">
        <v>92</v>
      </c>
      <c r="H26" s="2">
        <v>1</v>
      </c>
      <c r="I26" s="2" t="s">
        <v>93</v>
      </c>
      <c r="J26" s="2" t="s">
        <v>33</v>
      </c>
      <c r="K26" s="2"/>
      <c r="L26" s="8">
        <v>89</v>
      </c>
      <c r="M26" s="2">
        <v>53</v>
      </c>
      <c r="N26" s="8">
        <v>50.3</v>
      </c>
      <c r="O26" s="2" t="str">
        <f t="shared" si="0"/>
        <v>E099GA01</v>
      </c>
      <c r="P26" s="2" t="s">
        <v>83</v>
      </c>
      <c r="Q26" s="2" t="s">
        <v>84</v>
      </c>
      <c r="R26" s="9"/>
      <c r="S26" s="5" t="s">
        <v>85</v>
      </c>
      <c r="T26" s="2" t="str">
        <f t="shared" si="1"/>
        <v>Stirnlampe Petzl Actik rot - 450 Lumen,Accueil,Outdoor plus,Lampen,Rapala Fishco,Petzl</v>
      </c>
      <c r="U26" s="2" t="str">
        <f t="shared" si="2"/>
        <v>Stirnlampe Petzl Actik rot - 450 Lumen</v>
      </c>
      <c r="V26" s="2" t="str">
        <f t="shared" si="3"/>
        <v>Stirnlampe Petzl Actik rot - 450 Lumen,Accueil,Outdoor plus,Lampen,Rapala Fishco,Petzl</v>
      </c>
      <c r="W26" s="2">
        <v>1</v>
      </c>
      <c r="X26" s="2">
        <v>1</v>
      </c>
      <c r="Y26" s="2" t="str">
        <f t="shared" si="8"/>
        <v>http://usfh.ch/img/Lampen/E099GA01.jpg</v>
      </c>
      <c r="Z26" s="2" t="str">
        <f t="shared" si="4"/>
        <v>E099GA01</v>
      </c>
      <c r="AA26" s="6">
        <f t="shared" si="5"/>
        <v>0</v>
      </c>
      <c r="AB26" s="6">
        <f t="shared" si="6"/>
        <v>0</v>
      </c>
      <c r="AC26" s="2">
        <v>0.5</v>
      </c>
    </row>
    <row r="27" spans="1:29" s="7" customFormat="1" ht="15" customHeight="1" x14ac:dyDescent="0.2">
      <c r="A27" s="10">
        <v>26</v>
      </c>
      <c r="B27" s="2"/>
      <c r="C27" s="2"/>
      <c r="D27" s="2"/>
      <c r="E27" s="2"/>
      <c r="F27" s="2">
        <v>0</v>
      </c>
      <c r="G27" s="2" t="s">
        <v>94</v>
      </c>
      <c r="H27" s="2">
        <v>1</v>
      </c>
      <c r="I27" s="2" t="s">
        <v>95</v>
      </c>
      <c r="J27" s="2" t="s">
        <v>33</v>
      </c>
      <c r="K27" s="2"/>
      <c r="L27" s="8">
        <v>86</v>
      </c>
      <c r="M27" s="2">
        <v>53</v>
      </c>
      <c r="N27" s="8">
        <v>42.53</v>
      </c>
      <c r="O27" s="2" t="str">
        <f t="shared" si="0"/>
        <v>E065AA01</v>
      </c>
      <c r="P27" s="2" t="s">
        <v>84</v>
      </c>
      <c r="Q27" s="2" t="s">
        <v>84</v>
      </c>
      <c r="R27" s="9"/>
      <c r="S27" s="5" t="s">
        <v>96</v>
      </c>
      <c r="T27" s="2" t="str">
        <f t="shared" si="1"/>
        <v>Stirnlampe Petzl Actik blau - 600 Lumen,Accueil,Outdoor plus,Lampen,Petzl,Petzl</v>
      </c>
      <c r="U27" s="2" t="str">
        <f t="shared" si="2"/>
        <v>Stirnlampe Petzl Actik blau - 600 Lumen</v>
      </c>
      <c r="V27" s="2" t="str">
        <f t="shared" si="3"/>
        <v>Stirnlampe Petzl Actik blau - 600 Lumen,Accueil,Outdoor plus,Lampen,Petzl,Petzl</v>
      </c>
      <c r="W27" s="2">
        <v>1</v>
      </c>
      <c r="X27" s="2">
        <v>1</v>
      </c>
      <c r="Y27" s="2" t="str">
        <f t="shared" si="8"/>
        <v>http://usfh.ch/img/Lampen/E065AA01.jpg</v>
      </c>
      <c r="Z27" s="2" t="str">
        <f t="shared" si="4"/>
        <v>E065AA01</v>
      </c>
      <c r="AA27" s="6">
        <f t="shared" si="5"/>
        <v>0</v>
      </c>
      <c r="AB27" s="6">
        <f t="shared" si="6"/>
        <v>0</v>
      </c>
      <c r="AC27" s="2">
        <v>0.5</v>
      </c>
    </row>
    <row r="28" spans="1:29" s="7" customFormat="1" ht="15" customHeight="1" x14ac:dyDescent="0.2">
      <c r="A28" s="10">
        <v>27</v>
      </c>
      <c r="B28" s="2"/>
      <c r="C28" s="2"/>
      <c r="D28" s="2"/>
      <c r="E28" s="2"/>
      <c r="F28" s="2">
        <v>0</v>
      </c>
      <c r="G28" s="2" t="s">
        <v>97</v>
      </c>
      <c r="H28" s="2">
        <v>1</v>
      </c>
      <c r="I28" s="2" t="s">
        <v>98</v>
      </c>
      <c r="J28" s="2" t="s">
        <v>33</v>
      </c>
      <c r="K28" s="2"/>
      <c r="L28" s="8">
        <v>86</v>
      </c>
      <c r="M28" s="2">
        <v>53</v>
      </c>
      <c r="N28" s="8">
        <v>42.53</v>
      </c>
      <c r="O28" s="2" t="str">
        <f t="shared" si="0"/>
        <v>E065AA02</v>
      </c>
      <c r="P28" s="2" t="s">
        <v>84</v>
      </c>
      <c r="Q28" s="2" t="s">
        <v>84</v>
      </c>
      <c r="R28" s="9"/>
      <c r="S28" s="5" t="s">
        <v>96</v>
      </c>
      <c r="T28" s="2" t="str">
        <f t="shared" si="1"/>
        <v>Stirnlampe Petzl Actik grün - 600 Lumen,Accueil,Outdoor plus,Lampen,Petzl,Petzl</v>
      </c>
      <c r="U28" s="2" t="str">
        <f t="shared" si="2"/>
        <v>Stirnlampe Petzl Actik grün - 600 Lumen</v>
      </c>
      <c r="V28" s="2" t="str">
        <f t="shared" si="3"/>
        <v>Stirnlampe Petzl Actik grün - 600 Lumen,Accueil,Outdoor plus,Lampen,Petzl,Petzl</v>
      </c>
      <c r="W28" s="2">
        <v>1</v>
      </c>
      <c r="X28" s="2">
        <v>1</v>
      </c>
      <c r="Y28" s="2" t="str">
        <f t="shared" si="8"/>
        <v>http://usfh.ch/img/Lampen/E065AA02.jpg</v>
      </c>
      <c r="Z28" s="2" t="str">
        <f t="shared" si="4"/>
        <v>E065AA02</v>
      </c>
      <c r="AA28" s="6">
        <f t="shared" si="5"/>
        <v>0</v>
      </c>
      <c r="AB28" s="6">
        <f t="shared" si="6"/>
        <v>0</v>
      </c>
      <c r="AC28" s="2">
        <v>0.5</v>
      </c>
    </row>
    <row r="29" spans="1:29" s="7" customFormat="1" ht="15" customHeight="1" x14ac:dyDescent="0.2">
      <c r="A29" s="10">
        <v>28</v>
      </c>
      <c r="B29" s="2"/>
      <c r="C29" s="2"/>
      <c r="D29" s="2"/>
      <c r="E29" s="2"/>
      <c r="F29" s="2">
        <v>1</v>
      </c>
      <c r="G29" s="2" t="s">
        <v>99</v>
      </c>
      <c r="H29" s="2">
        <v>1</v>
      </c>
      <c r="I29" s="2" t="s">
        <v>100</v>
      </c>
      <c r="J29" s="2" t="s">
        <v>33</v>
      </c>
      <c r="K29" s="2"/>
      <c r="L29" s="8">
        <v>86</v>
      </c>
      <c r="M29" s="2">
        <v>53</v>
      </c>
      <c r="N29" s="8">
        <v>42.53</v>
      </c>
      <c r="O29" s="2" t="str">
        <f t="shared" si="0"/>
        <v>E065AA03</v>
      </c>
      <c r="P29" s="2" t="s">
        <v>84</v>
      </c>
      <c r="Q29" s="2" t="s">
        <v>84</v>
      </c>
      <c r="R29" s="9"/>
      <c r="S29" s="5" t="s">
        <v>96</v>
      </c>
      <c r="T29" s="2" t="str">
        <f t="shared" si="1"/>
        <v>Stirnlampe Petzl Actik rot - 600 Lumen,Accueil,Outdoor plus,Lampen,Petzl,Petzl</v>
      </c>
      <c r="U29" s="2" t="str">
        <f t="shared" si="2"/>
        <v>Stirnlampe Petzl Actik rot - 600 Lumen</v>
      </c>
      <c r="V29" s="2" t="str">
        <f t="shared" si="3"/>
        <v>Stirnlampe Petzl Actik rot - 600 Lumen,Accueil,Outdoor plus,Lampen,Petzl,Petzl</v>
      </c>
      <c r="W29" s="2">
        <v>1</v>
      </c>
      <c r="X29" s="2">
        <v>1</v>
      </c>
      <c r="Y29" s="2" t="str">
        <f t="shared" si="8"/>
        <v>http://usfh.ch/img/Lampen/E065AA03.jpg</v>
      </c>
      <c r="Z29" s="2" t="str">
        <f t="shared" si="4"/>
        <v>E065AA03</v>
      </c>
      <c r="AA29" s="6">
        <f t="shared" si="5"/>
        <v>86</v>
      </c>
      <c r="AB29" s="6">
        <f t="shared" si="6"/>
        <v>42.53</v>
      </c>
      <c r="AC29" s="2">
        <v>0.5</v>
      </c>
    </row>
    <row r="30" spans="1:29" s="7" customFormat="1" ht="15" customHeight="1" x14ac:dyDescent="0.2">
      <c r="A30" s="10">
        <v>29</v>
      </c>
      <c r="B30" s="2"/>
      <c r="C30" s="2"/>
      <c r="D30" s="2"/>
      <c r="E30" s="2"/>
      <c r="F30" s="2">
        <v>2</v>
      </c>
      <c r="G30" s="2" t="s">
        <v>101</v>
      </c>
      <c r="H30" s="2">
        <v>1</v>
      </c>
      <c r="I30" s="2" t="s">
        <v>102</v>
      </c>
      <c r="J30" s="2" t="s">
        <v>33</v>
      </c>
      <c r="K30" s="2"/>
      <c r="L30" s="8">
        <v>63</v>
      </c>
      <c r="M30" s="2">
        <v>53</v>
      </c>
      <c r="N30" s="8">
        <v>31.3</v>
      </c>
      <c r="O30" s="2" t="str">
        <f t="shared" si="0"/>
        <v>E070BA00</v>
      </c>
      <c r="P30" s="2" t="s">
        <v>84</v>
      </c>
      <c r="Q30" s="2" t="s">
        <v>84</v>
      </c>
      <c r="R30" s="9"/>
      <c r="S30" s="5" t="s">
        <v>103</v>
      </c>
      <c r="T30" s="2" t="str">
        <f t="shared" si="1"/>
        <v>Stirnlampe Petzl Aria 2 schwarz - 450 Lumen,Accueil,Outdoor plus,Lampen,Petzl,Petzl</v>
      </c>
      <c r="U30" s="2" t="str">
        <f t="shared" si="2"/>
        <v>Stirnlampe Petzl Aria 2 schwarz - 450 Lumen</v>
      </c>
      <c r="V30" s="2" t="str">
        <f t="shared" si="3"/>
        <v>Stirnlampe Petzl Aria 2 schwarz - 450 Lumen,Accueil,Outdoor plus,Lampen,Petzl,Petzl</v>
      </c>
      <c r="W30" s="2">
        <v>1</v>
      </c>
      <c r="X30" s="2">
        <v>1</v>
      </c>
      <c r="Y30" s="2" t="str">
        <f t="shared" si="8"/>
        <v>http://usfh.ch/img/Lampen/E070BA00.jpg</v>
      </c>
      <c r="Z30" s="2" t="str">
        <f t="shared" si="4"/>
        <v>E070BA00</v>
      </c>
      <c r="AA30" s="6">
        <f t="shared" si="5"/>
        <v>126</v>
      </c>
      <c r="AB30" s="6">
        <f t="shared" si="6"/>
        <v>62.6</v>
      </c>
      <c r="AC30" s="2">
        <v>0.5</v>
      </c>
    </row>
    <row r="31" spans="1:29" s="7" customFormat="1" ht="15" customHeight="1" x14ac:dyDescent="0.2">
      <c r="A31" s="10">
        <v>30</v>
      </c>
      <c r="B31" s="2"/>
      <c r="C31" s="2"/>
      <c r="D31" s="2"/>
      <c r="E31" s="2"/>
      <c r="F31" s="2">
        <v>2</v>
      </c>
      <c r="G31" s="2" t="s">
        <v>104</v>
      </c>
      <c r="H31" s="2">
        <v>1</v>
      </c>
      <c r="I31" s="2" t="s">
        <v>105</v>
      </c>
      <c r="J31" s="2" t="s">
        <v>33</v>
      </c>
      <c r="K31" s="2"/>
      <c r="L31" s="8">
        <v>63</v>
      </c>
      <c r="M31" s="2">
        <v>53</v>
      </c>
      <c r="N31" s="8">
        <v>31.3</v>
      </c>
      <c r="O31" s="2" t="str">
        <f t="shared" si="0"/>
        <v>E070BA01</v>
      </c>
      <c r="P31" s="2" t="s">
        <v>84</v>
      </c>
      <c r="Q31" s="2" t="s">
        <v>84</v>
      </c>
      <c r="R31" s="9"/>
      <c r="S31" s="5" t="s">
        <v>103</v>
      </c>
      <c r="T31" s="2" t="str">
        <f t="shared" si="1"/>
        <v>Stirnlampe Petzl Aria 2 camo - 450 Lumen,Accueil,Outdoor plus,Lampen,Petzl,Petzl</v>
      </c>
      <c r="U31" s="2" t="str">
        <f t="shared" si="2"/>
        <v>Stirnlampe Petzl Aria 2 camo - 450 Lumen</v>
      </c>
      <c r="V31" s="2" t="str">
        <f t="shared" si="3"/>
        <v>Stirnlampe Petzl Aria 2 camo - 450 Lumen,Accueil,Outdoor plus,Lampen,Petzl,Petzl</v>
      </c>
      <c r="W31" s="2">
        <v>1</v>
      </c>
      <c r="X31" s="2">
        <v>1</v>
      </c>
      <c r="Y31" s="2" t="str">
        <f t="shared" si="8"/>
        <v>http://usfh.ch/img/Lampen/E070BA01.jpg</v>
      </c>
      <c r="Z31" s="2" t="str">
        <f t="shared" si="4"/>
        <v>E070BA01</v>
      </c>
      <c r="AA31" s="6">
        <f t="shared" si="5"/>
        <v>126</v>
      </c>
      <c r="AB31" s="6">
        <f t="shared" si="6"/>
        <v>62.6</v>
      </c>
      <c r="AC31" s="2">
        <v>0.5</v>
      </c>
    </row>
    <row r="32" spans="1:29" s="7" customFormat="1" ht="15" customHeight="1" x14ac:dyDescent="0.2">
      <c r="A32" s="10">
        <v>31</v>
      </c>
      <c r="B32" s="2"/>
      <c r="C32" s="2"/>
      <c r="D32" s="2"/>
      <c r="E32" s="2"/>
      <c r="F32" s="2">
        <v>2</v>
      </c>
      <c r="G32" s="2" t="s">
        <v>106</v>
      </c>
      <c r="H32" s="2">
        <v>1</v>
      </c>
      <c r="I32" s="2" t="s">
        <v>107</v>
      </c>
      <c r="J32" s="2" t="s">
        <v>33</v>
      </c>
      <c r="K32" s="2"/>
      <c r="L32" s="8">
        <v>47</v>
      </c>
      <c r="M32" s="2">
        <v>53</v>
      </c>
      <c r="N32" s="8">
        <v>23.4</v>
      </c>
      <c r="O32" s="2" t="str">
        <f t="shared" si="0"/>
        <v>E069BA00</v>
      </c>
      <c r="P32" s="2" t="s">
        <v>84</v>
      </c>
      <c r="Q32" s="2" t="s">
        <v>84</v>
      </c>
      <c r="R32" s="9"/>
      <c r="S32" s="5" t="s">
        <v>108</v>
      </c>
      <c r="T32" s="2" t="str">
        <f t="shared" si="1"/>
        <v>Stirnlampe Petzl Aria 1 schwarz - 350 Lumen,Accueil,Outdoor plus,Lampen,Petzl,Petzl</v>
      </c>
      <c r="U32" s="2" t="str">
        <f t="shared" si="2"/>
        <v>Stirnlampe Petzl Aria 1 schwarz - 350 Lumen</v>
      </c>
      <c r="V32" s="2" t="str">
        <f t="shared" si="3"/>
        <v>Stirnlampe Petzl Aria 1 schwarz - 350 Lumen,Accueil,Outdoor plus,Lampen,Petzl,Petzl</v>
      </c>
      <c r="W32" s="2">
        <v>1</v>
      </c>
      <c r="X32" s="2">
        <v>1</v>
      </c>
      <c r="Y32" s="2" t="str">
        <f t="shared" si="8"/>
        <v>http://usfh.ch/img/Lampen/E069BA00.jpg</v>
      </c>
      <c r="Z32" s="2" t="str">
        <f t="shared" si="4"/>
        <v>E069BA00</v>
      </c>
      <c r="AA32" s="6">
        <f t="shared" si="5"/>
        <v>94</v>
      </c>
      <c r="AB32" s="6">
        <f t="shared" si="6"/>
        <v>46.8</v>
      </c>
      <c r="AC32" s="2">
        <v>0.5</v>
      </c>
    </row>
    <row r="33" spans="1:29" s="7" customFormat="1" ht="15" customHeight="1" x14ac:dyDescent="0.2">
      <c r="A33" s="10">
        <v>32</v>
      </c>
      <c r="B33" s="2"/>
      <c r="C33" s="2"/>
      <c r="D33" s="2"/>
      <c r="E33" s="2"/>
      <c r="F33" s="2">
        <v>2</v>
      </c>
      <c r="G33" s="2" t="s">
        <v>109</v>
      </c>
      <c r="H33" s="2">
        <v>1</v>
      </c>
      <c r="I33" s="2" t="s">
        <v>110</v>
      </c>
      <c r="J33" s="2" t="s">
        <v>33</v>
      </c>
      <c r="K33" s="2"/>
      <c r="L33" s="8">
        <v>47</v>
      </c>
      <c r="M33" s="2">
        <v>53</v>
      </c>
      <c r="N33" s="8">
        <v>23.4</v>
      </c>
      <c r="O33" s="2" t="str">
        <f t="shared" si="0"/>
        <v>E069BA01</v>
      </c>
      <c r="P33" s="2" t="s">
        <v>84</v>
      </c>
      <c r="Q33" s="2" t="s">
        <v>84</v>
      </c>
      <c r="R33" s="9"/>
      <c r="S33" s="5" t="s">
        <v>108</v>
      </c>
      <c r="T33" s="2" t="str">
        <f t="shared" si="1"/>
        <v>Stirnlampe Petzl Aria 1 camo - 350 Lumen,Accueil,Outdoor plus,Lampen,Petzl,Petzl</v>
      </c>
      <c r="U33" s="2" t="str">
        <f t="shared" si="2"/>
        <v>Stirnlampe Petzl Aria 1 camo - 350 Lumen</v>
      </c>
      <c r="V33" s="2" t="str">
        <f t="shared" si="3"/>
        <v>Stirnlampe Petzl Aria 1 camo - 350 Lumen,Accueil,Outdoor plus,Lampen,Petzl,Petzl</v>
      </c>
      <c r="W33" s="2">
        <v>1</v>
      </c>
      <c r="X33" s="2">
        <v>1</v>
      </c>
      <c r="Y33" s="2" t="str">
        <f t="shared" si="8"/>
        <v>http://usfh.ch/img/Lampen/E069BA01.jpg</v>
      </c>
      <c r="Z33" s="2" t="str">
        <f t="shared" si="4"/>
        <v>E069BA01</v>
      </c>
      <c r="AA33" s="6">
        <f t="shared" si="5"/>
        <v>94</v>
      </c>
      <c r="AB33" s="6">
        <f t="shared" si="6"/>
        <v>46.8</v>
      </c>
      <c r="AC33" s="2">
        <v>0.5</v>
      </c>
    </row>
    <row r="34" spans="1:29" s="7" customFormat="1" ht="15" customHeight="1" x14ac:dyDescent="0.2">
      <c r="A34" s="10">
        <v>33</v>
      </c>
      <c r="B34" s="2"/>
      <c r="C34" s="2"/>
      <c r="D34" s="2"/>
      <c r="E34" s="2"/>
      <c r="F34" s="2">
        <v>0</v>
      </c>
      <c r="G34" s="2" t="s">
        <v>111</v>
      </c>
      <c r="H34" s="2">
        <v>1</v>
      </c>
      <c r="I34" s="2" t="s">
        <v>112</v>
      </c>
      <c r="J34" s="2" t="s">
        <v>33</v>
      </c>
      <c r="K34" s="2"/>
      <c r="L34" s="8">
        <v>30</v>
      </c>
      <c r="M34" s="2">
        <v>53</v>
      </c>
      <c r="N34" s="8">
        <v>14.83</v>
      </c>
      <c r="O34" s="2" t="str">
        <f t="shared" si="0"/>
        <v>E091BA01</v>
      </c>
      <c r="P34" s="2" t="s">
        <v>84</v>
      </c>
      <c r="Q34" s="2" t="s">
        <v>84</v>
      </c>
      <c r="R34" s="9"/>
      <c r="S34" s="5" t="s">
        <v>113</v>
      </c>
      <c r="T34" s="2" t="str">
        <f t="shared" si="1"/>
        <v>Stirnlampe Petzl Tikkid pink - 20 Lumen,Accueil,Outdoor plus,Lampen,Petzl,Petzl</v>
      </c>
      <c r="U34" s="2" t="str">
        <f t="shared" si="2"/>
        <v>Stirnlampe Petzl Tikkid pink - 20 Lumen</v>
      </c>
      <c r="V34" s="2" t="str">
        <f t="shared" si="3"/>
        <v>Stirnlampe Petzl Tikkid pink - 20 Lumen,Accueil,Outdoor plus,Lampen,Petzl,Petzl</v>
      </c>
      <c r="W34" s="2">
        <v>1</v>
      </c>
      <c r="X34" s="2">
        <v>1</v>
      </c>
      <c r="Y34" s="2" t="str">
        <f t="shared" si="8"/>
        <v>http://usfh.ch/img/Lampen/E091BA01.jpg</v>
      </c>
      <c r="Z34" s="2" t="str">
        <f t="shared" si="4"/>
        <v>E091BA01</v>
      </c>
      <c r="AA34" s="6">
        <f t="shared" si="5"/>
        <v>0</v>
      </c>
      <c r="AB34" s="6">
        <f t="shared" si="6"/>
        <v>0</v>
      </c>
      <c r="AC34" s="2">
        <v>0.5</v>
      </c>
    </row>
    <row r="35" spans="1:29" s="7" customFormat="1" ht="15" customHeight="1" x14ac:dyDescent="0.2">
      <c r="A35" s="10">
        <v>34</v>
      </c>
      <c r="B35" s="2"/>
      <c r="C35" s="2"/>
      <c r="D35" s="2"/>
      <c r="E35" s="2"/>
      <c r="F35" s="2">
        <v>1</v>
      </c>
      <c r="G35" s="2" t="s">
        <v>123</v>
      </c>
      <c r="H35" s="2">
        <v>1</v>
      </c>
      <c r="I35" s="2" t="s">
        <v>127</v>
      </c>
      <c r="J35" s="2" t="s">
        <v>33</v>
      </c>
      <c r="K35" s="2"/>
      <c r="L35" s="8">
        <v>86</v>
      </c>
      <c r="M35" s="2">
        <v>53</v>
      </c>
      <c r="N35" s="8">
        <v>43.2</v>
      </c>
      <c r="O35" s="2" t="str">
        <f t="shared" ref="O35" si="21">G35</f>
        <v>E065AB00</v>
      </c>
      <c r="P35" s="2" t="s">
        <v>84</v>
      </c>
      <c r="Q35" s="2" t="s">
        <v>84</v>
      </c>
      <c r="R35" s="9"/>
      <c r="S35" s="5" t="s">
        <v>124</v>
      </c>
      <c r="T35" s="2" t="str">
        <f t="shared" si="1"/>
        <v>Stirnlampe Petzl ACTIK® CORE red,Accueil,Outdoor plus,Lampen,Petzl,Petzl</v>
      </c>
      <c r="U35" s="2" t="str">
        <f t="shared" ref="U35" si="22">I35</f>
        <v>Stirnlampe Petzl ACTIK® CORE red</v>
      </c>
      <c r="V35" s="2" t="str">
        <f t="shared" ref="V35" si="23">T35</f>
        <v>Stirnlampe Petzl ACTIK® CORE red,Accueil,Outdoor plus,Lampen,Petzl,Petzl</v>
      </c>
      <c r="W35" s="2">
        <v>1</v>
      </c>
      <c r="X35" s="2">
        <v>1</v>
      </c>
      <c r="Y35" s="2" t="str">
        <f t="shared" si="8"/>
        <v>http://usfh.ch/img/Lampen/E065AB00.jpg</v>
      </c>
      <c r="Z35" s="2" t="str">
        <f t="shared" ref="Z35" si="24">G35</f>
        <v>E065AB00</v>
      </c>
      <c r="AA35" s="6">
        <f t="shared" ref="AA35" si="25">F35*L35</f>
        <v>86</v>
      </c>
      <c r="AB35" s="6">
        <f t="shared" ref="AB35" si="26">F35*N35</f>
        <v>43.2</v>
      </c>
      <c r="AC35" s="2">
        <v>0.5</v>
      </c>
    </row>
    <row r="36" spans="1:29" s="7" customFormat="1" ht="15" customHeight="1" x14ac:dyDescent="0.2">
      <c r="A36" s="10">
        <v>35</v>
      </c>
      <c r="B36" s="2"/>
      <c r="C36" s="2"/>
      <c r="D36" s="2"/>
      <c r="E36" s="2"/>
      <c r="F36" s="2">
        <v>1</v>
      </c>
      <c r="G36" s="2" t="s">
        <v>125</v>
      </c>
      <c r="H36" s="2">
        <v>1</v>
      </c>
      <c r="I36" s="2" t="s">
        <v>126</v>
      </c>
      <c r="J36" s="2" t="s">
        <v>33</v>
      </c>
      <c r="K36" s="2"/>
      <c r="L36" s="8">
        <v>86</v>
      </c>
      <c r="M36" s="2">
        <v>53</v>
      </c>
      <c r="N36" s="8">
        <v>43.2</v>
      </c>
      <c r="O36" s="2" t="str">
        <f t="shared" ref="O36" si="27">G36</f>
        <v>E065AB03</v>
      </c>
      <c r="P36" s="2" t="s">
        <v>84</v>
      </c>
      <c r="Q36" s="2" t="s">
        <v>84</v>
      </c>
      <c r="R36" s="9"/>
      <c r="S36" s="5" t="s">
        <v>124</v>
      </c>
      <c r="T36" s="2" t="str">
        <f t="shared" si="1"/>
        <v>Stirnlampe Petzl ACTIK® CORE green,Accueil,Outdoor plus,Lampen,Petzl,Petzl</v>
      </c>
      <c r="U36" s="2" t="str">
        <f t="shared" ref="U36" si="28">I36</f>
        <v>Stirnlampe Petzl ACTIK® CORE green</v>
      </c>
      <c r="V36" s="2" t="str">
        <f t="shared" ref="V36" si="29">T36</f>
        <v>Stirnlampe Petzl ACTIK® CORE green,Accueil,Outdoor plus,Lampen,Petzl,Petzl</v>
      </c>
      <c r="W36" s="2">
        <v>1</v>
      </c>
      <c r="X36" s="2">
        <v>1</v>
      </c>
      <c r="Y36" s="2" t="str">
        <f t="shared" si="8"/>
        <v>http://usfh.ch/img/Lampen/E065AB03.jpg</v>
      </c>
      <c r="Z36" s="2" t="str">
        <f t="shared" ref="Z36" si="30">G36</f>
        <v>E065AB03</v>
      </c>
      <c r="AA36" s="6">
        <f t="shared" ref="AA36" si="31">F36*L36</f>
        <v>86</v>
      </c>
      <c r="AB36" s="6">
        <f t="shared" ref="AB36" si="32">F36*N36</f>
        <v>43.2</v>
      </c>
      <c r="AC36" s="2">
        <v>0.5</v>
      </c>
    </row>
    <row r="37" spans="1:29" s="20" customFormat="1" ht="15" customHeight="1" x14ac:dyDescent="0.2">
      <c r="A37" s="16"/>
      <c r="B37" s="16"/>
      <c r="C37" s="16"/>
      <c r="D37" s="16"/>
      <c r="E37" s="16"/>
      <c r="F37" s="16"/>
      <c r="G37" s="16"/>
      <c r="H37" s="16"/>
      <c r="I37" s="16"/>
      <c r="J37" s="16"/>
      <c r="K37" s="16"/>
      <c r="L37" s="23"/>
      <c r="M37" s="16"/>
      <c r="N37" s="23"/>
      <c r="O37" s="16"/>
      <c r="P37" s="16"/>
      <c r="Q37" s="16"/>
      <c r="R37" s="17"/>
      <c r="S37" s="18"/>
      <c r="T37" s="16"/>
      <c r="U37" s="16"/>
      <c r="V37" s="16"/>
      <c r="W37" s="16"/>
      <c r="X37" s="16"/>
      <c r="Y37" s="16"/>
      <c r="Z37" s="16"/>
      <c r="AA37" s="19"/>
      <c r="AB37" s="19"/>
      <c r="AC37" s="16"/>
    </row>
    <row r="38" spans="1:29" s="20" customFormat="1" ht="15" customHeight="1" x14ac:dyDescent="0.2">
      <c r="A38" s="16"/>
      <c r="B38" s="16"/>
      <c r="C38" s="16"/>
      <c r="D38" s="16"/>
      <c r="E38" s="16"/>
      <c r="F38" s="16"/>
      <c r="G38" s="16"/>
      <c r="H38" s="16"/>
      <c r="I38" s="16"/>
      <c r="J38" s="16"/>
      <c r="K38" s="16"/>
      <c r="L38" s="23"/>
      <c r="M38" s="16"/>
      <c r="N38" s="23"/>
      <c r="O38" s="16"/>
      <c r="P38" s="16"/>
      <c r="Q38" s="16"/>
      <c r="R38" s="17"/>
      <c r="S38" s="18"/>
      <c r="T38" s="16"/>
      <c r="U38" s="16"/>
      <c r="V38" s="16"/>
      <c r="W38" s="16"/>
      <c r="X38" s="16"/>
      <c r="Y38" s="16"/>
      <c r="Z38" s="16"/>
      <c r="AA38" s="19"/>
      <c r="AB38" s="19"/>
      <c r="AC38" s="16"/>
    </row>
    <row r="39" spans="1:29" s="20" customFormat="1" ht="15" customHeight="1" x14ac:dyDescent="0.2">
      <c r="A39" s="16"/>
      <c r="B39" s="16"/>
      <c r="C39" s="16"/>
      <c r="D39" s="16"/>
      <c r="E39" s="16"/>
      <c r="F39" s="16"/>
      <c r="G39" s="16"/>
      <c r="H39" s="16"/>
      <c r="I39" s="16"/>
      <c r="J39" s="16"/>
      <c r="K39" s="16"/>
      <c r="L39" s="23"/>
      <c r="M39" s="16"/>
      <c r="N39" s="23"/>
      <c r="O39" s="16"/>
      <c r="P39" s="16"/>
      <c r="Q39" s="16"/>
      <c r="R39" s="17"/>
      <c r="S39" s="18"/>
      <c r="T39" s="16"/>
      <c r="U39" s="16"/>
      <c r="V39" s="16"/>
      <c r="W39" s="16"/>
      <c r="X39" s="16"/>
      <c r="Y39" s="16"/>
      <c r="Z39" s="16"/>
      <c r="AA39" s="19"/>
      <c r="AB39" s="19"/>
      <c r="AC39" s="16"/>
    </row>
    <row r="40" spans="1:29" s="20" customFormat="1" ht="15" customHeight="1" x14ac:dyDescent="0.2">
      <c r="A40" s="16"/>
      <c r="B40" s="16"/>
      <c r="C40" s="16"/>
      <c r="D40" s="16"/>
      <c r="E40" s="16"/>
      <c r="F40" s="16"/>
      <c r="G40" s="16"/>
      <c r="H40" s="16"/>
      <c r="I40" s="16"/>
      <c r="J40" s="16"/>
      <c r="K40" s="16"/>
      <c r="L40" s="23"/>
      <c r="M40" s="16"/>
      <c r="N40" s="23"/>
      <c r="O40" s="16"/>
      <c r="P40" s="16"/>
      <c r="Q40" s="16"/>
      <c r="R40" s="17"/>
      <c r="S40" s="18"/>
      <c r="T40" s="16"/>
      <c r="U40" s="16"/>
      <c r="V40" s="16"/>
      <c r="W40" s="16"/>
      <c r="X40" s="16"/>
      <c r="Y40" s="16"/>
      <c r="Z40" s="16"/>
      <c r="AA40" s="19"/>
      <c r="AB40" s="19"/>
      <c r="AC40" s="16"/>
    </row>
    <row r="51" spans="14:14" x14ac:dyDescent="0.2">
      <c r="N51" s="24">
        <f>SUM(AA2:AA40)</f>
        <v>3420</v>
      </c>
    </row>
  </sheetData>
  <phoneticPr fontId="3" type="noConversion"/>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Lampen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Urs Schwendener</cp:lastModifiedBy>
  <cp:lastPrinted>2025-10-08T07:53:50Z</cp:lastPrinted>
  <dcterms:created xsi:type="dcterms:W3CDTF">2023-06-14T13:57:13Z</dcterms:created>
  <dcterms:modified xsi:type="dcterms:W3CDTF">2026-04-25T11:07:34Z</dcterms:modified>
</cp:coreProperties>
</file>